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€]#,##0.00"/>
    <numFmt numFmtId="165" formatCode="m-d"/>
    <numFmt numFmtId="166" formatCode="mmm d"/>
    <numFmt numFmtId="167" formatCode="mmmm 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2" xfId="0" applyFont="1" applyNumberFormat="1"/>
    <xf borderId="0" fillId="2" fontId="1" numFmtId="1" xfId="0" applyFont="1" applyNumberFormat="1"/>
    <xf borderId="0" fillId="2" fontId="1" numFmtId="164" xfId="0" applyFont="1" applyNumberFormat="1"/>
    <xf borderId="0" fillId="0" fontId="1" numFmtId="0" xfId="0" applyFont="1"/>
    <xf borderId="0" fillId="0" fontId="1" numFmtId="1" xfId="0" applyFont="1" applyNumberFormat="1"/>
    <xf borderId="0" fillId="0" fontId="1" numFmtId="9" xfId="0" applyFont="1" applyNumberFormat="1"/>
    <xf borderId="0" fillId="0" fontId="1" numFmtId="10" xfId="0" applyFont="1" applyNumberFormat="1"/>
    <xf borderId="0" fillId="3" fontId="2" numFmtId="0" xfId="0" applyFill="1" applyFont="1"/>
    <xf borderId="0" fillId="3" fontId="2" numFmtId="10" xfId="0" applyFont="1" applyNumberFormat="1"/>
    <xf borderId="0" fillId="0" fontId="1" numFmtId="165" xfId="0" applyFont="1" applyNumberFormat="1"/>
    <xf borderId="0" fillId="4" fontId="1" numFmtId="0" xfId="0" applyFill="1" applyFont="1"/>
    <xf borderId="0" fillId="0" fontId="1" numFmtId="166" xfId="0" applyFont="1" applyNumberFormat="1"/>
    <xf borderId="0" fillId="0" fontId="1" numFmtId="167" xfId="0" applyFont="1" applyNumberFormat="1"/>
    <xf borderId="0" fillId="0" fontId="1" numFmtId="2" xfId="0" applyFont="1" applyNumberFormat="1"/>
    <xf borderId="0" fillId="0" fontId="1" numFmtId="20" xfId="0" applyFont="1" applyNumberFormat="1"/>
    <xf borderId="0" fillId="5" fontId="2" numFmtId="0" xfId="0" applyFill="1" applyFont="1"/>
    <xf borderId="0" fillId="6" fontId="2" numFmtId="0" xfId="0" applyFill="1" applyFont="1"/>
    <xf borderId="0" fillId="5" fontId="2" numFmtId="166" xfId="0" applyFont="1" applyNumberFormat="1"/>
    <xf borderId="0" fillId="5" fontId="2" numFmtId="167" xfId="0" applyFont="1" applyNumberFormat="1"/>
    <xf borderId="0" fillId="5" fontId="2" numFmtId="2" xfId="0" applyFont="1" applyNumberFormat="1"/>
    <xf borderId="0" fillId="5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9.63"/>
  </cols>
  <sheetData>
    <row r="1">
      <c r="A1" s="1" t="str">
        <f>IFERROR(__xludf.DUMMYFUNCTION("IMPORTRANGE(""https://docs.google.com/spreadsheets/d/18sPle4ValYWC3D6LFitkZ_NwhUgNg3gnHBJNJHZHUrI/edit?gid=738381844#gid=738381844"", ""Classes2026!A1:AL500"")"),"Ready")</f>
        <v>Ready</v>
      </c>
      <c r="B1" s="1" t="str">
        <f>IFERROR(__xludf.DUMMYFUNCTION("""COMPUTED_VALUE"""),"Notes")</f>
        <v>Notes</v>
      </c>
      <c r="C1" s="1" t="str">
        <f>IFERROR(__xludf.DUMMYFUNCTION("""COMPUTED_VALUE"""),"Pros arrive at Triaz")</f>
        <v>Pros arrive at Triaz</v>
      </c>
      <c r="D1" s="1" t="str">
        <f>IFERROR(__xludf.DUMMYFUNCTION("""COMPUTED_VALUE"""),"Course Name")</f>
        <v>Course Name</v>
      </c>
      <c r="E1" s="1" t="str">
        <f>IFERROR(__xludf.DUMMYFUNCTION("""COMPUTED_VALUE"""),"Dates")</f>
        <v>Dates</v>
      </c>
      <c r="F1" s="1" t="str">
        <f>IFERROR(__xludf.DUMMYFUNCTION("""COMPUTED_VALUE"""),"End Date")</f>
        <v>End Date</v>
      </c>
      <c r="G1" s="1" t="str">
        <f>IFERROR(__xludf.DUMMYFUNCTION("""COMPUTED_VALUE"""),"# of weeks")</f>
        <v># of weeks</v>
      </c>
      <c r="H1" s="2" t="str">
        <f>IFERROR(__xludf.DUMMYFUNCTION("""COMPUTED_VALUE"""),"Length of Class")</f>
        <v>Length of Class</v>
      </c>
      <c r="I1" s="3" t="str">
        <f>IFERROR(__xludf.DUMMYFUNCTION("""COMPUTED_VALUE"""),"Cost per class")</f>
        <v>Cost per class</v>
      </c>
      <c r="J1" s="1" t="str">
        <f>IFERROR(__xludf.DUMMYFUNCTION("""COMPUTED_VALUE"""),"Session Cost")</f>
        <v>Session Cost</v>
      </c>
      <c r="K1" s="3" t="str">
        <f>IFERROR(__xludf.DUMMYFUNCTION("""COMPUTED_VALUE"""),"Non member fee")</f>
        <v>Non member fee</v>
      </c>
      <c r="L1" s="3" t="str">
        <f>IFERROR(__xludf.DUMMYFUNCTION("""COMPUTED_VALUE"""),"Actual # of Participants")</f>
        <v>Actual # of Participants</v>
      </c>
      <c r="M1" s="1" t="str">
        <f>IFERROR(__xludf.DUMMYFUNCTION("""COMPUTED_VALUE"""),"Max Participants")</f>
        <v>Max Participants</v>
      </c>
      <c r="N1" s="1" t="str">
        <f>IFERROR(__xludf.DUMMYFUNCTION("""COMPUTED_VALUE"""),"Extra info-see season for specifics")</f>
        <v>Extra info-see season for specifics</v>
      </c>
      <c r="O1" s="1" t="str">
        <f>IFERROR(__xludf.DUMMYFUNCTION("""COMPUTED_VALUE"""),"No class")</f>
        <v>No class</v>
      </c>
      <c r="P1" s="1" t="str">
        <f>IFERROR(__xludf.DUMMYFUNCTION("""COMPUTED_VALUE"""),"Extra info-see season for specifics")</f>
        <v>Extra info-see season for specifics</v>
      </c>
      <c r="Q1" s="1" t="str">
        <f>IFERROR(__xludf.DUMMYFUNCTION("""COMPUTED_VALUE"""),"Pro 1")</f>
        <v>Pro 1</v>
      </c>
      <c r="R1" s="1" t="str">
        <f>IFERROR(__xludf.DUMMYFUNCTION("""COMPUTED_VALUE"""),"Pro 2")</f>
        <v>Pro 2</v>
      </c>
      <c r="S1" s="1" t="str">
        <f>IFERROR(__xludf.DUMMYFUNCTION("""COMPUTED_VALUE"""),"Pro 3")</f>
        <v>Pro 3</v>
      </c>
      <c r="T1" s="4" t="str">
        <f>IFERROR(__xludf.DUMMYFUNCTION("""COMPUTED_VALUE"""),"Pro 4")</f>
        <v>Pro 4</v>
      </c>
      <c r="U1" s="1"/>
      <c r="V1" s="1" t="str">
        <f>IFERROR(__xludf.DUMMYFUNCTION("""COMPUTED_VALUE"""),"Expenses")</f>
        <v>Expenses</v>
      </c>
      <c r="W1" s="1" t="str">
        <f>IFERROR(__xludf.DUMMYFUNCTION("""COMPUTED_VALUE"""),"Pro 1")</f>
        <v>Pro 1</v>
      </c>
      <c r="X1" s="1" t="str">
        <f>IFERROR(__xludf.DUMMYFUNCTION("""COMPUTED_VALUE"""),"Pro 1 bonus")</f>
        <v>Pro 1 bonus</v>
      </c>
      <c r="Y1" s="1" t="str">
        <f>IFERROR(__xludf.DUMMYFUNCTION("""COMPUTED_VALUE"""),"Pro 2")</f>
        <v>Pro 2</v>
      </c>
      <c r="Z1" s="1" t="str">
        <f>IFERROR(__xludf.DUMMYFUNCTION("""COMPUTED_VALUE"""),"Pro 3")</f>
        <v>Pro 3</v>
      </c>
      <c r="AA1" s="1" t="str">
        <f>IFERROR(__xludf.DUMMYFUNCTION("""COMPUTED_VALUE"""),"court fee")</f>
        <v>court fee</v>
      </c>
      <c r="AB1" s="1" t="str">
        <f>IFERROR(__xludf.DUMMYFUNCTION("""COMPUTED_VALUE"""),"Total Expense")</f>
        <v>Total Expense</v>
      </c>
      <c r="AC1" s="1" t="str">
        <f>IFERROR(__xludf.DUMMYFUNCTION("""COMPUTED_VALUE"""),"Income")</f>
        <v>Income</v>
      </c>
      <c r="AD1" s="1" t="str">
        <f>IFERROR(__xludf.DUMMYFUNCTION("""COMPUTED_VALUE"""),"Net Profit")</f>
        <v>Net Profit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>
      <c r="A2" s="5"/>
      <c r="B2" s="5" t="str">
        <f>IFERROR(__xludf.DUMMYFUNCTION("""COMPUTED_VALUE"""),"neon green on timmy")</f>
        <v>neon green on timmy</v>
      </c>
      <c r="C2" s="5"/>
      <c r="D2" s="5" t="str">
        <f>IFERROR(__xludf.DUMMYFUNCTION("""COMPUTED_VALUE"""),"Spring 2026. 1 to 6 ratio. Membership Required at Triaz. Not Randwijck, but nonmember fees apply. ")</f>
        <v>Spring 2026. 1 to 6 ratio. Membership Required at Triaz. Not Randwijck, but nonmember fees apply. </v>
      </c>
      <c r="E2" s="5"/>
      <c r="F2" s="5"/>
      <c r="G2" s="5"/>
      <c r="H2" s="5"/>
      <c r="I2" s="5"/>
      <c r="J2" s="5"/>
      <c r="K2" s="5">
        <f>IFERROR(__xludf.DUMMYFUNCTION("""COMPUTED_VALUE"""),2026.0)</f>
        <v>2026</v>
      </c>
      <c r="L2" s="5"/>
      <c r="M2" s="5"/>
      <c r="N2" s="5"/>
      <c r="O2" s="5"/>
      <c r="P2" s="5" t="str">
        <f>IFERROR(__xludf.DUMMYFUNCTION("""COMPUTED_VALUE"""),"Triaz Membership Pro-rating")</f>
        <v>Triaz Membership Pro-rating</v>
      </c>
      <c r="Q2" s="5"/>
      <c r="R2" s="5"/>
      <c r="S2" s="5"/>
      <c r="T2" s="5"/>
      <c r="U2" s="5" t="str">
        <f>IFERROR(__xludf.DUMMYFUNCTION("""COMPUTED_VALUE"""),"Randwijck membership")</f>
        <v>Randwijck membership</v>
      </c>
      <c r="V2" s="5"/>
      <c r="W2" s="5" t="str">
        <f>IFERROR(__xludf.DUMMYFUNCTION("""COMPUTED_VALUE"""),"Special 1 : new members only until March 15")</f>
        <v>Special 1 : new members only until March 15</v>
      </c>
      <c r="X2" s="5"/>
      <c r="Y2" s="5"/>
      <c r="Z2" s="5"/>
      <c r="AA2" s="5"/>
      <c r="AB2" s="5"/>
      <c r="AC2" s="5" t="str">
        <f>IFERROR(__xludf.DUMMYFUNCTION("""COMPUTED_VALUE"""),"CAMP")</f>
        <v>CAMP</v>
      </c>
      <c r="AD2" s="5"/>
      <c r="AE2" s="5"/>
      <c r="AF2" s="5"/>
      <c r="AG2" s="5"/>
      <c r="AH2" s="5"/>
      <c r="AI2" s="5"/>
      <c r="AJ2" s="5"/>
      <c r="AK2" s="5"/>
      <c r="AL2" s="5"/>
    </row>
    <row r="3">
      <c r="A3" s="5"/>
      <c r="B3" s="5" t="str">
        <f>IFERROR(__xludf.DUMMYFUNCTION("""COMPUTED_VALUE"""),"yellow ready")</f>
        <v>yellow ready</v>
      </c>
      <c r="C3" s="5"/>
      <c r="D3" s="5" t="str">
        <f>IFERROR(__xludf.DUMMYFUNCTION("""COMPUTED_VALUE"""),"Cost For Classes")</f>
        <v>Cost For Classes</v>
      </c>
      <c r="E3" s="5" t="str">
        <f>IFERROR(__xludf.DUMMYFUNCTION("""COMPUTED_VALUE"""),"% increase")</f>
        <v>% increase</v>
      </c>
      <c r="F3" s="5" t="str">
        <f>IFERROR(__xludf.DUMMYFUNCTION("""COMPUTED_VALUE"""),"1.5 hour")</f>
        <v>1.5 hour</v>
      </c>
      <c r="G3" s="5" t="str">
        <f>IFERROR(__xludf.DUMMYFUNCTION("""COMPUTED_VALUE"""),"1 hour")</f>
        <v>1 hour</v>
      </c>
      <c r="H3" s="5">
        <f>IFERROR(__xludf.DUMMYFUNCTION("""COMPUTED_VALUE"""),1.25)</f>
        <v>1.25</v>
      </c>
      <c r="I3" s="5" t="str">
        <f>IFERROR(__xludf.DUMMYFUNCTION("""COMPUTED_VALUE"""),".75 hr")</f>
        <v>.75 hr</v>
      </c>
      <c r="J3" s="5"/>
      <c r="K3" s="5" t="str">
        <f>IFERROR(__xludf.DUMMYFUNCTION("""COMPUTED_VALUE"""),"1.5 hour")</f>
        <v>1.5 hour</v>
      </c>
      <c r="L3" s="5" t="str">
        <f>IFERROR(__xludf.DUMMYFUNCTION("""COMPUTED_VALUE"""),"1.5 hour")</f>
        <v>1.5 hour</v>
      </c>
      <c r="M3" s="5" t="str">
        <f>IFERROR(__xludf.DUMMYFUNCTION("""COMPUTED_VALUE"""),"1 hour")</f>
        <v>1 hour</v>
      </c>
      <c r="N3" s="5" t="str">
        <f>IFERROR(__xludf.DUMMYFUNCTION("""COMPUTED_VALUE"""),"45 min")</f>
        <v>45 min</v>
      </c>
      <c r="O3" s="5"/>
      <c r="P3" s="5" t="str">
        <f>IFERROR(__xludf.DUMMYFUNCTION("""COMPUTED_VALUE"""),"Adult")</f>
        <v>Adult</v>
      </c>
      <c r="Q3" s="5"/>
      <c r="R3" s="5"/>
      <c r="S3" s="5"/>
      <c r="T3" s="5"/>
      <c r="U3" s="5"/>
      <c r="V3" s="5"/>
      <c r="W3" s="5"/>
      <c r="X3" s="5" t="str">
        <f>IFERROR(__xludf.DUMMYFUNCTION("""COMPUTED_VALUE"""),"Special 2: 2 clubs")</f>
        <v>Special 2: 2 clubs</v>
      </c>
      <c r="Y3" s="5"/>
      <c r="Z3" s="5" t="str">
        <f>IFERROR(__xludf.DUMMYFUNCTION("""COMPUTED_VALUE"""),"Adult")</f>
        <v>Adult</v>
      </c>
      <c r="AA3" s="5" t="str">
        <f>IFERROR(__xludf.DUMMYFUNCTION("""COMPUTED_VALUE"""),"Youth")</f>
        <v>Youth</v>
      </c>
      <c r="AB3" s="5"/>
      <c r="AC3" s="5" t="str">
        <f>IFERROR(__xludf.DUMMYFUNCTION("""COMPUTED_VALUE"""),"Drop in rate for 1-3 days. ")</f>
        <v>Drop in rate for 1-3 days. </v>
      </c>
      <c r="AD3" s="5"/>
      <c r="AE3" s="5"/>
      <c r="AF3" s="5"/>
      <c r="AG3" s="5"/>
      <c r="AH3" s="5"/>
      <c r="AI3" s="5"/>
      <c r="AJ3" s="5"/>
      <c r="AK3" s="5"/>
      <c r="AL3" s="5"/>
    </row>
    <row r="4">
      <c r="A4" s="5"/>
      <c r="B4" s="5"/>
      <c r="C4" s="5"/>
      <c r="D4" s="5" t="str">
        <f>IFERROR(__xludf.DUMMYFUNCTION("""COMPUTED_VALUE"""),"2025 Prices")</f>
        <v>2025 Prices</v>
      </c>
      <c r="E4" s="5"/>
      <c r="F4" s="5">
        <f>IFERROR(__xludf.DUMMYFUNCTION("""COMPUTED_VALUE"""),34.0)</f>
        <v>34</v>
      </c>
      <c r="G4" s="5">
        <f>IFERROR(__xludf.DUMMYFUNCTION("""COMPUTED_VALUE"""),26.0)</f>
        <v>26</v>
      </c>
      <c r="H4" s="5">
        <f>IFERROR(__xludf.DUMMYFUNCTION("""COMPUTED_VALUE"""),30.0)</f>
        <v>30</v>
      </c>
      <c r="I4" s="5">
        <f>IFERROR(__xludf.DUMMYFUNCTION("""COMPUTED_VALUE"""),19.0)</f>
        <v>19</v>
      </c>
      <c r="J4" s="5"/>
      <c r="K4" s="5" t="str">
        <f>IFERROR(__xludf.DUMMYFUNCTION("""COMPUTED_VALUE"""),"6 players")</f>
        <v>6 players</v>
      </c>
      <c r="L4" s="5">
        <f>IFERROR(__xludf.DUMMYFUNCTION("""COMPUTED_VALUE"""),36.0)</f>
        <v>36</v>
      </c>
      <c r="M4" s="5">
        <f>IFERROR(__xludf.DUMMYFUNCTION("""COMPUTED_VALUE"""),28.0)</f>
        <v>28</v>
      </c>
      <c r="N4" s="5">
        <f>IFERROR(__xludf.DUMMYFUNCTION("""COMPUTED_VALUE"""),20.0)</f>
        <v>20</v>
      </c>
      <c r="O4" s="5"/>
      <c r="P4" s="5" t="str">
        <f>IFERROR(__xludf.DUMMYFUNCTION("""COMPUTED_VALUE"""),"126 plus 10 for year or if you join anytime in April, May, June = 120")</f>
        <v>126 plus 10 for year or if you join anytime in April, May, June = 120</v>
      </c>
      <c r="Q4" s="5"/>
      <c r="R4" s="5"/>
      <c r="S4" s="5"/>
      <c r="T4" s="5"/>
      <c r="U4" s="5"/>
      <c r="V4" s="5"/>
      <c r="W4" s="5"/>
      <c r="X4" s="5"/>
      <c r="Y4" s="5" t="str">
        <f>IFERROR(__xludf.DUMMYFUNCTION("""COMPUTED_VALUE"""),"June ")</f>
        <v>June </v>
      </c>
      <c r="Z4" s="5" t="str">
        <f>IFERROR(__xludf.DUMMYFUNCTION("""COMPUTED_VALUE"""),"135 euros")</f>
        <v>135 euros</v>
      </c>
      <c r="AA4" s="5">
        <f>IFERROR(__xludf.DUMMYFUNCTION("""COMPUTED_VALUE"""),70.0)</f>
        <v>70</v>
      </c>
      <c r="AB4" s="5"/>
      <c r="AC4" s="6" t="str">
        <f>IFERROR(__xludf.DUMMYFUNCTION("""COMPUTED_VALUE"""),"Day drop in rate for members: Half day 70 euro and full day 90 euro")</f>
        <v>Day drop in rate for members: Half day 70 euro and full day 90 euro</v>
      </c>
      <c r="AD4" s="5"/>
      <c r="AE4" s="5"/>
      <c r="AF4" s="5"/>
      <c r="AG4" s="5"/>
      <c r="AH4" s="5"/>
      <c r="AI4" s="5"/>
      <c r="AJ4" s="5"/>
      <c r="AK4" s="5"/>
      <c r="AL4" s="5"/>
    </row>
    <row r="5">
      <c r="A5" s="5" t="str">
        <f>IFERROR(__xludf.DUMMYFUNCTION("""COMPUTED_VALUE"""),"Coaches court fees")</f>
        <v>Coaches court fees</v>
      </c>
      <c r="B5" s="5"/>
      <c r="C5" s="5" t="str">
        <f>IFERROR(__xludf.DUMMYFUNCTION("""COMPUTED_VALUE"""),"based on commercial differentation")</f>
        <v>based on commercial differentation</v>
      </c>
      <c r="D5" s="5"/>
      <c r="E5" s="5"/>
      <c r="F5" s="7">
        <f>IFERROR(__xludf.DUMMYFUNCTION("""COMPUTED_VALUE"""),-0.05555555555555558)</f>
        <v>-0.05555555556</v>
      </c>
      <c r="G5" s="8">
        <f>IFERROR(__xludf.DUMMYFUNCTION("""COMPUTED_VALUE"""),0.058)</f>
        <v>0.058</v>
      </c>
      <c r="H5" s="7">
        <f>IFERROR(__xludf.DUMMYFUNCTION("""COMPUTED_VALUE"""),0.05)</f>
        <v>0.05</v>
      </c>
      <c r="I5" s="8">
        <f>IFERROR(__xludf.DUMMYFUNCTION("""COMPUTED_VALUE"""),0.053)</f>
        <v>0.053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>
      <c r="A6" s="5"/>
      <c r="B6" s="5">
        <f>IFERROR(__xludf.DUMMYFUNCTION("""COMPUTED_VALUE"""),2025.0)</f>
        <v>2025</v>
      </c>
      <c r="C6" s="5" t="str">
        <f>IFERROR(__xludf.DUMMYFUNCTION("""COMPUTED_VALUE"""),"2026-5%")</f>
        <v>2026-5%</v>
      </c>
      <c r="D6" s="9" t="str">
        <f>IFERROR(__xludf.DUMMYFUNCTION("""COMPUTED_VALUE"""),"2026 Prices up 5-6%")</f>
        <v>2026 Prices up 5-6%</v>
      </c>
      <c r="E6" s="10">
        <f>IFERROR(__xludf.DUMMYFUNCTION("""COMPUTED_VALUE"""),0.05555555555555558)</f>
        <v>0.05555555556</v>
      </c>
      <c r="F6" s="9">
        <f>IFERROR(__xludf.DUMMYFUNCTION("""COMPUTED_VALUE"""),36.0)</f>
        <v>36</v>
      </c>
      <c r="G6" s="9">
        <f>IFERROR(__xludf.DUMMYFUNCTION("""COMPUTED_VALUE"""),28.0)</f>
        <v>28</v>
      </c>
      <c r="H6" s="9">
        <f>IFERROR(__xludf.DUMMYFUNCTION("""COMPUTED_VALUE"""),31.0)</f>
        <v>31</v>
      </c>
      <c r="I6" s="9">
        <f>IFERROR(__xludf.DUMMYFUNCTION("""COMPUTED_VALUE"""),20.0)</f>
        <v>20</v>
      </c>
      <c r="J6" s="5"/>
      <c r="K6" s="5" t="str">
        <f>IFERROR(__xludf.DUMMYFUNCTION("""COMPUTED_VALUE"""),"5 players")</f>
        <v>5 players</v>
      </c>
      <c r="L6" s="5">
        <f>IFERROR(__xludf.DUMMYFUNCTION("""COMPUTED_VALUE"""),36.0)</f>
        <v>36</v>
      </c>
      <c r="M6" s="5">
        <f>IFERROR(__xludf.DUMMYFUNCTION("""COMPUTED_VALUE"""),28.0)</f>
        <v>28</v>
      </c>
      <c r="N6" s="5">
        <f>IFERROR(__xludf.DUMMYFUNCTION("""COMPUTED_VALUE"""),20.0)</f>
        <v>20</v>
      </c>
      <c r="O6" s="5"/>
      <c r="P6" s="5" t="str">
        <f>IFERROR(__xludf.DUMMYFUNCTION("""COMPUTED_VALUE"""),"94.50 plus 10 if you join anytime in July, Aug, Sept = 92,50")</f>
        <v>94.50 plus 10 if you join anytime in July, Aug, Sept = 92,50</v>
      </c>
      <c r="Q6" s="5"/>
      <c r="R6" s="5"/>
      <c r="S6" s="5"/>
      <c r="T6" s="5"/>
      <c r="U6" s="5" t="str">
        <f>IFERROR(__xludf.DUMMYFUNCTION("""COMPUTED_VALUE"""),"Youth 89")</f>
        <v>Youth 89</v>
      </c>
      <c r="V6" s="5"/>
      <c r="W6" s="5" t="str">
        <f>IFERROR(__xludf.DUMMYFUNCTION("""COMPUTED_VALUE"""),"Youth 69")</f>
        <v>Youth 69</v>
      </c>
      <c r="X6" s="5" t="str">
        <f>IFERROR(__xludf.DUMMYFUNCTION("""COMPUTED_VALUE"""),"Youth 129")</f>
        <v>Youth 129</v>
      </c>
      <c r="Y6" s="5" t="str">
        <f>IFERROR(__xludf.DUMMYFUNCTION("""COMPUTED_VALUE"""),"July")</f>
        <v>July</v>
      </c>
      <c r="Z6" s="5" t="str">
        <f>IFERROR(__xludf.DUMMYFUNCTION("""COMPUTED_VALUE"""),"108 euros")</f>
        <v>108 euros</v>
      </c>
      <c r="AA6" s="5">
        <f>IFERROR(__xludf.DUMMYFUNCTION("""COMPUTED_VALUE"""),56.0)</f>
        <v>56</v>
      </c>
      <c r="AB6" s="5"/>
      <c r="AC6" s="6" t="str">
        <f>IFERROR(__xludf.DUMMYFUNCTION("""COMPUTED_VALUE"""),"Day drop in rate for NONmembers: Half day 80 euro and full day 100 euro")</f>
        <v>Day drop in rate for NONmembers: Half day 80 euro and full day 100 euro</v>
      </c>
      <c r="AD6" s="5"/>
      <c r="AE6" s="5"/>
      <c r="AF6" s="5"/>
      <c r="AG6" s="5"/>
      <c r="AH6" s="5"/>
      <c r="AI6" s="5"/>
      <c r="AJ6" s="5"/>
      <c r="AK6" s="5"/>
      <c r="AL6" s="5"/>
    </row>
    <row r="7">
      <c r="A7" s="5" t="str">
        <f>IFERROR(__xludf.DUMMYFUNCTION("""COMPUTED_VALUE"""),"Set")</f>
        <v>Set</v>
      </c>
      <c r="B7" s="5">
        <f>IFERROR(__xludf.DUMMYFUNCTION("""COMPUTED_VALUE"""),28.0)</f>
        <v>28</v>
      </c>
      <c r="C7" s="5">
        <f>IFERROR(__xludf.DUMMYFUNCTION("""COMPUTED_VALUE"""),29.400000000000002)</f>
        <v>29.4</v>
      </c>
      <c r="D7" s="5" t="str">
        <f>IFERROR(__xludf.DUMMYFUNCTION("""COMPUTED_VALUE"""),"with Pickup add 11")</f>
        <v>with Pickup add 11</v>
      </c>
      <c r="E7" s="5"/>
      <c r="F7" s="5">
        <f>IFERROR(__xludf.DUMMYFUNCTION("""COMPUTED_VALUE"""),47.0)</f>
        <v>47</v>
      </c>
      <c r="G7" s="5">
        <f>IFERROR(__xludf.DUMMYFUNCTION("""COMPUTED_VALUE"""),39.0)</f>
        <v>39</v>
      </c>
      <c r="H7" s="5">
        <f>IFERROR(__xludf.DUMMYFUNCTION("""COMPUTED_VALUE"""),42.0)</f>
        <v>42</v>
      </c>
      <c r="I7" s="5">
        <f>IFERROR(__xludf.DUMMYFUNCTION("""COMPUTED_VALUE"""),31.0)</f>
        <v>31</v>
      </c>
      <c r="J7" s="5"/>
      <c r="K7" s="5" t="str">
        <f>IFERROR(__xludf.DUMMYFUNCTION("""COMPUTED_VALUE"""),"4 players")</f>
        <v>4 players</v>
      </c>
      <c r="L7" s="5">
        <f>IFERROR(__xludf.DUMMYFUNCTION("""COMPUTED_VALUE"""),45.0)</f>
        <v>45</v>
      </c>
      <c r="M7" s="5">
        <f>IFERROR(__xludf.DUMMYFUNCTION("""COMPUTED_VALUE"""),36.0)</f>
        <v>36</v>
      </c>
      <c r="N7" s="5">
        <f>IFERROR(__xludf.DUMMYFUNCTION("""COMPUTED_VALUE"""),25.0)</f>
        <v>25</v>
      </c>
      <c r="O7" s="5"/>
      <c r="P7" s="5" t="str">
        <f>IFERROR(__xludf.DUMMYFUNCTION("""COMPUTED_VALUE"""),"63 plus 10  if you join anytime in Oct, Nov, Dec = 65")</f>
        <v>63 plus 10  if you join anytime in Oct, Nov, Dec = 65</v>
      </c>
      <c r="Q7" s="5"/>
      <c r="R7" s="5"/>
      <c r="S7" s="5"/>
      <c r="T7" s="5"/>
      <c r="U7" s="5" t="str">
        <f>IFERROR(__xludf.DUMMYFUNCTION("""COMPUTED_VALUE"""),"Adult 189")</f>
        <v>Adult 189</v>
      </c>
      <c r="V7" s="5"/>
      <c r="W7" s="5" t="str">
        <f>IFERROR(__xludf.DUMMYFUNCTION("""COMPUTED_VALUE"""),"Adult 129")</f>
        <v>Adult 129</v>
      </c>
      <c r="X7" s="5" t="str">
        <f>IFERROR(__xludf.DUMMYFUNCTION("""COMPUTED_VALUE"""),"Adult 209")</f>
        <v>Adult 209</v>
      </c>
      <c r="Y7" s="5" t="str">
        <f>IFERROR(__xludf.DUMMYFUNCTION("""COMPUTED_VALUE"""),"August")</f>
        <v>August</v>
      </c>
      <c r="Z7" s="5" t="str">
        <f>IFERROR(__xludf.DUMMYFUNCTION("""COMPUTED_VALUE"""),"81 euros")</f>
        <v>81 euros</v>
      </c>
      <c r="AA7" s="5">
        <f>IFERROR(__xludf.DUMMYFUNCTION("""COMPUTED_VALUE"""),42.0)</f>
        <v>42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>
      <c r="A8" s="5" t="str">
        <f>IFERROR(__xludf.DUMMYFUNCTION("""COMPUTED_VALUE"""),"Ramzi")</f>
        <v>Ramzi</v>
      </c>
      <c r="B8" s="5">
        <f>IFERROR(__xludf.DUMMYFUNCTION("""COMPUTED_VALUE"""),25.0)</f>
        <v>25</v>
      </c>
      <c r="C8" s="5">
        <f>IFERROR(__xludf.DUMMYFUNCTION("""COMPUTED_VALUE"""),26.25)</f>
        <v>26.25</v>
      </c>
      <c r="D8" s="5" t="str">
        <f>IFERROR(__xludf.DUMMYFUNCTION("""COMPUTED_VALUE"""),"French School 25/26")</f>
        <v>French School 25/26</v>
      </c>
      <c r="E8" s="5"/>
      <c r="F8" s="5"/>
      <c r="G8" s="5"/>
      <c r="H8" s="5"/>
      <c r="I8" s="5"/>
      <c r="J8" s="5"/>
      <c r="K8" s="5" t="str">
        <f>IFERROR(__xludf.DUMMYFUNCTION("""COMPUTED_VALUE"""),"3 players")</f>
        <v>3 players</v>
      </c>
      <c r="L8" s="5">
        <f>IFERROR(__xludf.DUMMYFUNCTION("""COMPUTED_VALUE"""),50.0)</f>
        <v>50</v>
      </c>
      <c r="M8" s="5">
        <f>IFERROR(__xludf.DUMMYFUNCTION("""COMPUTED_VALUE"""),38.0)</f>
        <v>38</v>
      </c>
      <c r="N8" s="5">
        <f>IFERROR(__xludf.DUMMYFUNCTION("""COMPUTED_VALUE"""),28.0)</f>
        <v>28</v>
      </c>
      <c r="O8" s="5"/>
      <c r="P8" s="5" t="str">
        <f>IFERROR(__xludf.DUMMYFUNCTION("""COMPUTED_VALUE"""),"31,50 plus 10 if you join anytime in Jan, Feb, Mar = 37,50")</f>
        <v>31,50 plus 10 if you join anytime in Jan, Feb, Mar = 37,50</v>
      </c>
      <c r="Q8" s="5"/>
      <c r="R8" s="5"/>
      <c r="S8" s="5"/>
      <c r="T8" s="5"/>
      <c r="U8" s="5" t="str">
        <f>IFERROR(__xludf.DUMMYFUNCTION("""COMPUTED_VALUE"""),"Family-389")</f>
        <v>Family-389</v>
      </c>
      <c r="V8" s="5"/>
      <c r="W8" s="5" t="str">
        <f>IFERROR(__xludf.DUMMYFUNCTION("""COMPUTED_VALUE"""),"Family 289")</f>
        <v>Family 289</v>
      </c>
      <c r="X8" s="5" t="str">
        <f>IFERROR(__xludf.DUMMYFUNCTION("""COMPUTED_VALUE"""),"No family")</f>
        <v>No family</v>
      </c>
      <c r="Y8" s="5" t="str">
        <f>IFERROR(__xludf.DUMMYFUNCTION("""COMPUTED_VALUE"""),"Sept")</f>
        <v>Sept</v>
      </c>
      <c r="Z8" s="5" t="str">
        <f>IFERROR(__xludf.DUMMYFUNCTION("""COMPUTED_VALUE"""),"54 euros")</f>
        <v>54 euros</v>
      </c>
      <c r="AA8" s="5">
        <f>IFERROR(__xludf.DUMMYFUNCTION("""COMPUTED_VALUE"""),28.0)</f>
        <v>28</v>
      </c>
      <c r="AB8" s="5"/>
      <c r="AC8" s="6" t="str">
        <f>IFERROR(__xludf.DUMMYFUNCTION("""COMPUTED_VALUE"""),"Drop in rate for 4 days:")</f>
        <v>Drop in rate for 4 days:</v>
      </c>
      <c r="AD8" s="5"/>
      <c r="AE8" s="5"/>
      <c r="AF8" s="5"/>
      <c r="AG8" s="5"/>
      <c r="AH8" s="5"/>
      <c r="AI8" s="5"/>
      <c r="AJ8" s="5"/>
      <c r="AK8" s="5"/>
      <c r="AL8" s="5"/>
    </row>
    <row r="9">
      <c r="A9" s="5" t="str">
        <f>IFERROR(__xludf.DUMMYFUNCTION("""COMPUTED_VALUE"""),"Farah")</f>
        <v>Farah</v>
      </c>
      <c r="B9" s="5">
        <f>IFERROR(__xludf.DUMMYFUNCTION("""COMPUTED_VALUE"""),25.0)</f>
        <v>25</v>
      </c>
      <c r="C9" s="5">
        <f>IFERROR(__xludf.DUMMYFUNCTION("""COMPUTED_VALUE"""),26.25)</f>
        <v>26.25</v>
      </c>
      <c r="D9" s="5" t="str">
        <f>IFERROR(__xludf.DUMMYFUNCTION("""COMPUTED_VALUE"""),"Friday -1.5 hours (Pickup &amp; Play &amp; Instruction 27E) (.75 instruction, .75 pickup play)")</f>
        <v>Friday -1.5 hours (Pickup &amp; Play &amp; Instruction 27E) (.75 instruction, .75 pickup play)</v>
      </c>
      <c r="E9" s="5"/>
      <c r="F9" s="5"/>
      <c r="G9" s="5" t="str">
        <f>IFERROR(__xludf.DUMMYFUNCTION("""COMPUTED_VALUE"""),"15% less than above prices")</f>
        <v>15% less than above prices</v>
      </c>
      <c r="H9" s="5"/>
      <c r="I9" s="5"/>
      <c r="J9" s="5"/>
      <c r="K9" s="6">
        <f>IFERROR(__xludf.DUMMYFUNCTION("""COMPUTED_VALUE"""),2025.0)</f>
        <v>2025</v>
      </c>
      <c r="L9" s="5"/>
      <c r="M9" s="5"/>
      <c r="N9" s="5"/>
      <c r="O9" s="5"/>
      <c r="P9" s="5" t="str">
        <f>IFERROR(__xludf.DUMMYFUNCTION("""COMPUTED_VALUE"""),"Youth")</f>
        <v>Youth</v>
      </c>
      <c r="Q9" s="5"/>
      <c r="R9" s="5"/>
      <c r="S9" s="5" t="str">
        <f>IFERROR(__xludf.DUMMYFUNCTION("""COMPUTED_VALUE"""),"new rates-remodel")</f>
        <v>new rates-remodel</v>
      </c>
      <c r="T9" s="5"/>
      <c r="U9" s="5" t="str">
        <f>IFERROR(__xludf.DUMMYFUNCTION("""COMPUTED_VALUE"""),"Previous Court renters &amp; Lesson takers: 39")</f>
        <v>Previous Court renters &amp; Lesson takers: 39</v>
      </c>
      <c r="V9" s="5"/>
      <c r="W9" s="5"/>
      <c r="X9" s="5"/>
      <c r="Y9" s="5" t="str">
        <f>IFERROR(__xludf.DUMMYFUNCTION("""COMPUTED_VALUE"""),"Oct")</f>
        <v>Oct</v>
      </c>
      <c r="Z9" s="5" t="str">
        <f>IFERROR(__xludf.DUMMYFUNCTION("""COMPUTED_VALUE"""),"27 euros")</f>
        <v>27 euros</v>
      </c>
      <c r="AA9" s="5">
        <f>IFERROR(__xludf.DUMMYFUNCTION("""COMPUTED_VALUE"""),14.0)</f>
        <v>14</v>
      </c>
      <c r="AB9" s="5"/>
      <c r="AC9" s="6" t="str">
        <f>IFERROR(__xludf.DUMMYFUNCTION("""COMPUTED_VALUE"""),"Day drop in rate for members: Half day 60 euro and full day 80 euro")</f>
        <v>Day drop in rate for members: Half day 60 euro and full day 80 euro</v>
      </c>
      <c r="AD9" s="5"/>
      <c r="AE9" s="5"/>
      <c r="AF9" s="5"/>
      <c r="AG9" s="5"/>
      <c r="AH9" s="5"/>
      <c r="AI9" s="5"/>
      <c r="AJ9" s="5"/>
      <c r="AK9" s="5"/>
      <c r="AL9" s="5"/>
    </row>
    <row r="10">
      <c r="A10" s="5" t="str">
        <f>IFERROR(__xludf.DUMMYFUNCTION("""COMPUTED_VALUE"""),"Noah")</f>
        <v>Noah</v>
      </c>
      <c r="B10" s="5">
        <f>IFERROR(__xludf.DUMMYFUNCTION("""COMPUTED_VALUE"""),28.0)</f>
        <v>28</v>
      </c>
      <c r="C10" s="5">
        <f>IFERROR(__xludf.DUMMYFUNCTION("""COMPUTED_VALUE"""),29.400000000000002)</f>
        <v>29.4</v>
      </c>
      <c r="D10" s="5" t="str">
        <f>IFERROR(__xludf.DUMMYFUNCTION("""COMPUTED_VALUE"""),"For 2025/26 lets go up to 29/class for .75 instruction .75 pickup and play")</f>
        <v>For 2025/26 lets go up to 29/class for .75 instruction .75 pickup and play</v>
      </c>
      <c r="E10" s="5"/>
      <c r="F10" s="5"/>
      <c r="G10" s="5"/>
      <c r="H10" s="5"/>
      <c r="I10" s="5"/>
      <c r="J10" s="5"/>
      <c r="K10" s="5" t="str">
        <f>IFERROR(__xludf.DUMMYFUNCTION("""COMPUTED_VALUE"""),"1.5 hour")</f>
        <v>1.5 hour</v>
      </c>
      <c r="L10" s="5" t="str">
        <f>IFERROR(__xludf.DUMMYFUNCTION("""COMPUTED_VALUE"""),"1.5 hour")</f>
        <v>1.5 hour</v>
      </c>
      <c r="M10" s="5" t="str">
        <f>IFERROR(__xludf.DUMMYFUNCTION("""COMPUTED_VALUE"""),"1 hour")</f>
        <v>1 hour</v>
      </c>
      <c r="N10" s="5" t="str">
        <f>IFERROR(__xludf.DUMMYFUNCTION("""COMPUTED_VALUE"""),"45 min")</f>
        <v>45 min</v>
      </c>
      <c r="O10" s="5"/>
      <c r="P10" s="5" t="str">
        <f>IFERROR(__xludf.DUMMYFUNCTION("""COMPUTED_VALUE"""),"€92 for a year or if you join anytime in April, May, June")</f>
        <v>€92 for a year or if you join anytime in April, May, June</v>
      </c>
      <c r="Q10" s="5"/>
      <c r="R10" s="5"/>
      <c r="S10" s="5" t="str">
        <f>IFERROR(__xludf.DUMMYFUNCTION("""COMPUTED_VALUE"""),"between now and end of Oct.")</f>
        <v>between now and end of Oct.</v>
      </c>
      <c r="T10" s="5"/>
      <c r="U10" s="5"/>
      <c r="V10" s="5"/>
      <c r="W10" s="5"/>
      <c r="X10" s="5"/>
      <c r="Y10" s="5"/>
      <c r="Z10" s="5"/>
      <c r="AA10" s="5"/>
      <c r="AB10" s="5"/>
      <c r="AC10" s="6" t="str">
        <f>IFERROR(__xludf.DUMMYFUNCTION("""COMPUTED_VALUE"""),"Day drop in rate for NON members: Half day 70 euro and full day 90 euro")</f>
        <v>Day drop in rate for NON members: Half day 70 euro and full day 90 euro</v>
      </c>
      <c r="AD10" s="5"/>
      <c r="AE10" s="5"/>
      <c r="AF10" s="5"/>
      <c r="AG10" s="5"/>
      <c r="AH10" s="5"/>
      <c r="AI10" s="5"/>
      <c r="AJ10" s="5"/>
      <c r="AK10" s="5"/>
      <c r="AL10" s="5"/>
    </row>
    <row r="11">
      <c r="A11" s="5" t="str">
        <f>IFERROR(__xludf.DUMMYFUNCTION("""COMPUTED_VALUE"""),"Giorgio")</f>
        <v>Giorgio</v>
      </c>
      <c r="B11" s="5">
        <f>IFERROR(__xludf.DUMMYFUNCTION("""COMPUTED_VALUE"""),28.0)</f>
        <v>28</v>
      </c>
      <c r="C11" s="5">
        <f>IFERROR(__xludf.DUMMYFUNCTION("""COMPUTED_VALUE"""),29.400000000000002)</f>
        <v>29.4</v>
      </c>
      <c r="D11" s="5" t="str">
        <f>IFERROR(__xludf.DUMMYFUNCTION("""COMPUTED_VALUE"""),"a private group in prime time must bring in as much as a regular group of 5")</f>
        <v>a private group in prime time must bring in as much as a regular group of 5</v>
      </c>
      <c r="E11" s="5"/>
      <c r="F11" s="5"/>
      <c r="G11" s="5"/>
      <c r="H11" s="5"/>
      <c r="I11" s="5"/>
      <c r="J11" s="5"/>
      <c r="K11" s="5" t="str">
        <f>IFERROR(__xludf.DUMMYFUNCTION("""COMPUTED_VALUE"""),"6 players")</f>
        <v>6 players</v>
      </c>
      <c r="L11" s="5">
        <f>IFERROR(__xludf.DUMMYFUNCTION("""COMPUTED_VALUE"""),34.0)</f>
        <v>34</v>
      </c>
      <c r="M11" s="5">
        <f>IFERROR(__xludf.DUMMYFUNCTION("""COMPUTED_VALUE"""),26.5)</f>
        <v>26.5</v>
      </c>
      <c r="N11" s="5">
        <f>IFERROR(__xludf.DUMMYFUNCTION("""COMPUTED_VALUE"""),19.0)</f>
        <v>19</v>
      </c>
      <c r="O11" s="5"/>
      <c r="P11" s="5" t="str">
        <f>IFERROR(__xludf.DUMMYFUNCTION("""COMPUTED_VALUE"""),"€69 if you join anytime in July, Aug, Sept")</f>
        <v>€69 if you join anytime in July, Aug, Sept</v>
      </c>
      <c r="Q11" s="5"/>
      <c r="R11" s="5"/>
      <c r="S11" s="5" t="str">
        <f>IFERROR(__xludf.DUMMYFUNCTION("""COMPUTED_VALUE"""),"20 for adults")</f>
        <v>20 for adults</v>
      </c>
      <c r="T11" s="5"/>
      <c r="U11" s="5" t="str">
        <f>IFERROR(__xludf.DUMMYFUNCTION("""COMPUTED_VALUE"""),"Randwijck Non-member fees")</f>
        <v>Randwijck Non-member fees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>
      <c r="A12" s="5" t="str">
        <f>IFERROR(__xludf.DUMMYFUNCTION("""COMPUTED_VALUE"""),"Ivan")</f>
        <v>Ivan</v>
      </c>
      <c r="B12" s="5" t="str">
        <f>IFERROR(__xludf.DUMMYFUNCTION("""COMPUTED_VALUE"""),"1-13 26,50/14-20 21,00/21-35 16,00")</f>
        <v>1-13 26,50/14-20 21,00/21-35 16,00</v>
      </c>
      <c r="C12" s="5"/>
      <c r="D12" s="5" t="str">
        <f>IFERROR(__xludf.DUMMYFUNCTION("""COMPUTED_VALUE"""),"Need to put in Randwijck. member/nonmember pricing")</f>
        <v>Need to put in Randwijck. member/nonmember pricing</v>
      </c>
      <c r="E12" s="5"/>
      <c r="F12" s="5"/>
      <c r="G12" s="5" t="str">
        <f>IFERROR(__xludf.DUMMYFUNCTION("""COMPUTED_VALUE"""),"Private lesson plus 10E for non-member")</f>
        <v>Private lesson plus 10E for non-member</v>
      </c>
      <c r="H12" s="5"/>
      <c r="I12" s="5"/>
      <c r="J12" s="5"/>
      <c r="K12" s="5" t="str">
        <f>IFERROR(__xludf.DUMMYFUNCTION("""COMPUTED_VALUE"""),"5 players")</f>
        <v>5 players</v>
      </c>
      <c r="L12" s="5">
        <f>IFERROR(__xludf.DUMMYFUNCTION("""COMPUTED_VALUE"""),34.0)</f>
        <v>34</v>
      </c>
      <c r="M12" s="5">
        <f>IFERROR(__xludf.DUMMYFUNCTION("""COMPUTED_VALUE"""),26.5)</f>
        <v>26.5</v>
      </c>
      <c r="N12" s="5">
        <f>IFERROR(__xludf.DUMMYFUNCTION("""COMPUTED_VALUE"""),19.0)</f>
        <v>19</v>
      </c>
      <c r="O12" s="5"/>
      <c r="P12" s="5" t="str">
        <f>IFERROR(__xludf.DUMMYFUNCTION("""COMPUTED_VALUE"""),"€46 if you join anytime in Oct, Nov, Dec")</f>
        <v>€46 if you join anytime in Oct, Nov, Dec</v>
      </c>
      <c r="Q12" s="5"/>
      <c r="R12" s="5"/>
      <c r="S12" s="5" t="str">
        <f>IFERROR(__xludf.DUMMYFUNCTION("""COMPUTED_VALUE"""),"13 for youth")</f>
        <v>13 for youth</v>
      </c>
      <c r="T12" s="5"/>
      <c r="U12" s="5" t="str">
        <f>IFERROR(__xludf.DUMMYFUNCTION("""COMPUTED_VALUE"""),"5 per group lesson")</f>
        <v>5 per group lesson</v>
      </c>
      <c r="V12" s="5"/>
      <c r="W12" s="5"/>
      <c r="X12" s="5" t="str">
        <f>IFERROR(__xludf.DUMMYFUNCTION("""COMPUTED_VALUE"""),"Losse baanen huren")</f>
        <v>Losse baanen huren</v>
      </c>
      <c r="Y12" s="5">
        <f>IFERROR(__xludf.DUMMYFUNCTION("""COMPUTED_VALUE"""),25.0)</f>
        <v>25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>
      <c r="A13" s="5" t="str">
        <f>IFERROR(__xludf.DUMMYFUNCTION("""COMPUTED_VALUE"""),"Ivan")</f>
        <v>Ivan</v>
      </c>
      <c r="B13" s="11">
        <f>IFERROR(__xludf.DUMMYFUNCTION("""COMPUTED_VALUE"""),46035.0)</f>
        <v>46035</v>
      </c>
      <c r="C13" s="5">
        <f>IFERROR(__xludf.DUMMYFUNCTION("""COMPUTED_VALUE"""),27.825000000000003)</f>
        <v>27.825</v>
      </c>
      <c r="D13" s="5" t="str">
        <f>IFERROR(__xludf.DUMMYFUNCTION("""COMPUTED_VALUE"""),"Drop in rate or non member rate add 5euro")</f>
        <v>Drop in rate or non member rate add 5euro</v>
      </c>
      <c r="E13" s="5"/>
      <c r="F13" s="5"/>
      <c r="G13" s="5"/>
      <c r="H13" s="5"/>
      <c r="I13" s="5"/>
      <c r="J13" s="5"/>
      <c r="K13" s="5" t="str">
        <f>IFERROR(__xludf.DUMMYFUNCTION("""COMPUTED_VALUE"""),"4 players")</f>
        <v>4 players</v>
      </c>
      <c r="L13" s="5">
        <f>IFERROR(__xludf.DUMMYFUNCTION("""COMPUTED_VALUE"""),42.5)</f>
        <v>42.5</v>
      </c>
      <c r="M13" s="5">
        <f>IFERROR(__xludf.DUMMYFUNCTION("""COMPUTED_VALUE"""),34.0)</f>
        <v>34</v>
      </c>
      <c r="N13" s="5">
        <f>IFERROR(__xludf.DUMMYFUNCTION("""COMPUTED_VALUE"""),24.0)</f>
        <v>24</v>
      </c>
      <c r="O13" s="5"/>
      <c r="P13" s="5" t="str">
        <f>IFERROR(__xludf.DUMMYFUNCTION("""COMPUTED_VALUE"""),"€23 if you join anytime in Jan, Feb, Mar")</f>
        <v>€23 if you join anytime in Jan, Feb, Mar</v>
      </c>
      <c r="Q13" s="5"/>
      <c r="R13" s="5"/>
      <c r="S13" s="5"/>
      <c r="T13" s="5"/>
      <c r="U13" s="5" t="str">
        <f>IFERROR(__xludf.DUMMYFUNCTION("""COMPUTED_VALUE"""),"10 per private")</f>
        <v>10 per private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>
      <c r="A14" s="5" t="str">
        <f>IFERROR(__xludf.DUMMYFUNCTION("""COMPUTED_VALUE"""),"Ivan")</f>
        <v>Ivan</v>
      </c>
      <c r="B14" s="5" t="str">
        <f>IFERROR(__xludf.DUMMYFUNCTION("""COMPUTED_VALUE"""),"14-20")</f>
        <v>14-20</v>
      </c>
      <c r="C14" s="5">
        <f>IFERROR(__xludf.DUMMYFUNCTION("""COMPUTED_VALUE"""),22.05)</f>
        <v>22.05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>
      <c r="A15" s="5" t="str">
        <f>IFERROR(__xludf.DUMMYFUNCTION("""COMPUTED_VALUE"""),"Ivan")</f>
        <v>Ivan</v>
      </c>
      <c r="B15" s="5" t="str">
        <f>IFERROR(__xludf.DUMMYFUNCTION("""COMPUTED_VALUE"""),"20-35")</f>
        <v>20-35</v>
      </c>
      <c r="C15" s="5">
        <f>IFERROR(__xludf.DUMMYFUNCTION("""COMPUTED_VALUE"""),16.8)</f>
        <v>16.8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>
      <c r="A16" s="12"/>
      <c r="B16" s="12" t="str">
        <f>IFERROR(__xludf.DUMMYFUNCTION("""COMPUTED_VALUE"""),"WINTER 2026")</f>
        <v>WINTER 2026</v>
      </c>
      <c r="C16" s="12"/>
      <c r="D16" s="12" t="str">
        <f>IFERROR(__xludf.DUMMYFUNCTION("""COMPUTED_VALUE"""),"Jan 5-March 30 school holidays Feb 21-March 1 and AICS has early release on Feb 19")</f>
        <v>Jan 5-March 30 school holidays Feb 21-March 1 and AICS has early release on Feb 19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>
      <c r="A17" s="5"/>
      <c r="B17" s="5" t="str">
        <f>IFERROR(__xludf.DUMMYFUNCTION("""COMPUTED_VALUE"""),"Monday")</f>
        <v>Monday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>
      <c r="A18" s="5" t="str">
        <f>IFERROR(__xludf.DUMMYFUNCTION("""COMPUTED_VALUE"""),"yes")</f>
        <v>yes</v>
      </c>
      <c r="B18" s="5" t="str">
        <f>IFERROR(__xludf.DUMMYFUNCTION("""COMPUTED_VALUE"""),"AJErnstraat")</f>
        <v>AJErnstraat</v>
      </c>
      <c r="C18" s="5"/>
      <c r="D18" s="5" t="str">
        <f>IFERROR(__xludf.DUMMYFUNCTION("""COMPUTED_VALUE"""),"Monday 4:30-6:00 High Performance Ages 9-14")</f>
        <v>Monday 4:30-6:00 High Performance Ages 9-14</v>
      </c>
      <c r="E18" s="13">
        <f>IFERROR(__xludf.DUMMYFUNCTION("""COMPUTED_VALUE"""),45662.0)</f>
        <v>45662</v>
      </c>
      <c r="F18" s="14">
        <f>IFERROR(__xludf.DUMMYFUNCTION("""COMPUTED_VALUE"""),45746.0)</f>
        <v>45746</v>
      </c>
      <c r="G18" s="5">
        <f>IFERROR(__xludf.DUMMYFUNCTION("""COMPUTED_VALUE"""),12.0)</f>
        <v>12</v>
      </c>
      <c r="H18" s="15">
        <f>IFERROR(__xludf.DUMMYFUNCTION("""COMPUTED_VALUE"""),1.5)</f>
        <v>1.5</v>
      </c>
      <c r="I18" s="6">
        <f>IFERROR(__xludf.DUMMYFUNCTION("""COMPUTED_VALUE"""),34.0)</f>
        <v>34</v>
      </c>
      <c r="J18" s="5">
        <f>IFERROR(__xludf.DUMMYFUNCTION("""COMPUTED_VALUE"""),408.0)</f>
        <v>408</v>
      </c>
      <c r="K18" s="5"/>
      <c r="L18" s="5">
        <f>IFERROR(__xludf.DUMMYFUNCTION("""COMPUTED_VALUE"""),4.0)</f>
        <v>4</v>
      </c>
      <c r="M18" s="5">
        <f>IFERROR(__xludf.DUMMYFUNCTION("""COMPUTED_VALUE"""),6.0)</f>
        <v>6</v>
      </c>
      <c r="N18" s="5"/>
      <c r="O18" s="13">
        <f>IFERROR(__xludf.DUMMYFUNCTION("""COMPUTED_VALUE"""),45711.0)</f>
        <v>45711</v>
      </c>
      <c r="P18" s="5"/>
      <c r="Q18" s="5" t="str">
        <f>IFERROR(__xludf.DUMMYFUNCTION("""COMPUTED_VALUE"""),"Ramzi")</f>
        <v>Ramzi</v>
      </c>
      <c r="R18" s="5"/>
      <c r="S18" s="5"/>
      <c r="T18" s="5"/>
      <c r="U18" s="5"/>
      <c r="V18" s="5"/>
      <c r="W18" s="5">
        <f>IFERROR(__xludf.DUMMYFUNCTION("""COMPUTED_VALUE"""),79.5)</f>
        <v>79.5</v>
      </c>
      <c r="X18" s="5">
        <f>IFERROR(__xludf.DUMMYFUNCTION("""COMPUTED_VALUE"""),0.0)</f>
        <v>0</v>
      </c>
      <c r="Y18" s="5"/>
      <c r="Z18" s="5"/>
      <c r="AA18" s="5">
        <f>IFERROR(__xludf.DUMMYFUNCTION("""COMPUTED_VALUE"""),36.0)</f>
        <v>36</v>
      </c>
      <c r="AB18" s="5">
        <f>IFERROR(__xludf.DUMMYFUNCTION("""COMPUTED_VALUE"""),115.5)</f>
        <v>115.5</v>
      </c>
      <c r="AC18" s="5">
        <f>IFERROR(__xludf.DUMMYFUNCTION("""COMPUTED_VALUE"""),136.0)</f>
        <v>136</v>
      </c>
      <c r="AD18" s="5">
        <f>IFERROR(__xludf.DUMMYFUNCTION("""COMPUTED_VALUE"""),20.5)</f>
        <v>20.5</v>
      </c>
      <c r="AE18" s="5"/>
      <c r="AF18" s="5"/>
      <c r="AG18" s="5"/>
      <c r="AH18" s="5"/>
      <c r="AI18" s="5"/>
      <c r="AJ18" s="5"/>
      <c r="AK18" s="5"/>
      <c r="AL18" s="5"/>
    </row>
    <row r="19">
      <c r="A19" s="5" t="str">
        <f>IFERROR(__xludf.DUMMYFUNCTION("""COMPUTED_VALUE"""),"yes")</f>
        <v>yes</v>
      </c>
      <c r="B19" s="5" t="str">
        <f>IFERROR(__xludf.DUMMYFUNCTION("""COMPUTED_VALUE"""),"AJErnstraat")</f>
        <v>AJErnstraat</v>
      </c>
      <c r="C19" s="16">
        <f>IFERROR(__xludf.DUMMYFUNCTION("""COMPUTED_VALUE"""),0.11458333333333333)</f>
        <v>0.1145833333</v>
      </c>
      <c r="D19" s="5" t="str">
        <f>IFERROR(__xludf.DUMMYFUNCTION("""COMPUTED_VALUE"""),"Monday 3:15-4:45 ages 5-8 pickup BSA")</f>
        <v>Monday 3:15-4:45 ages 5-8 pickup BSA</v>
      </c>
      <c r="E19" s="13">
        <f>IFERROR(__xludf.DUMMYFUNCTION("""COMPUTED_VALUE"""),45669.0)</f>
        <v>45669</v>
      </c>
      <c r="F19" s="13">
        <f>IFERROR(__xludf.DUMMYFUNCTION("""COMPUTED_VALUE"""),45746.0)</f>
        <v>45746</v>
      </c>
      <c r="G19" s="5">
        <f>IFERROR(__xludf.DUMMYFUNCTION("""COMPUTED_VALUE"""),11.0)</f>
        <v>11</v>
      </c>
      <c r="H19" s="15">
        <f>IFERROR(__xludf.DUMMYFUNCTION("""COMPUTED_VALUE"""),1.5)</f>
        <v>1.5</v>
      </c>
      <c r="I19" s="6">
        <f>IFERROR(__xludf.DUMMYFUNCTION("""COMPUTED_VALUE"""),37.0)</f>
        <v>37</v>
      </c>
      <c r="J19" s="5">
        <f>IFERROR(__xludf.DUMMYFUNCTION("""COMPUTED_VALUE"""),407.0)</f>
        <v>407</v>
      </c>
      <c r="K19" s="5"/>
      <c r="L19" s="5">
        <f>IFERROR(__xludf.DUMMYFUNCTION("""COMPUTED_VALUE"""),9.0)</f>
        <v>9</v>
      </c>
      <c r="M19" s="5">
        <f>IFERROR(__xludf.DUMMYFUNCTION("""COMPUTED_VALUE"""),14.0)</f>
        <v>14</v>
      </c>
      <c r="N19" s="5"/>
      <c r="O19" s="13">
        <f>IFERROR(__xludf.DUMMYFUNCTION("""COMPUTED_VALUE"""),45711.0)</f>
        <v>45711</v>
      </c>
      <c r="P19" s="5"/>
      <c r="Q19" s="5" t="str">
        <f>IFERROR(__xludf.DUMMYFUNCTION("""COMPUTED_VALUE"""),"Noah")</f>
        <v>Noah</v>
      </c>
      <c r="R19" s="5" t="str">
        <f>IFERROR(__xludf.DUMMYFUNCTION("""COMPUTED_VALUE"""),"Giorgio")</f>
        <v>Giorgio</v>
      </c>
      <c r="S19" s="5"/>
      <c r="T19" s="5"/>
      <c r="U19" s="5"/>
      <c r="V19" s="5"/>
      <c r="W19" s="5">
        <f>IFERROR(__xludf.DUMMYFUNCTION("""COMPUTED_VALUE"""),60.0)</f>
        <v>60</v>
      </c>
      <c r="X19" s="5">
        <f>IFERROR(__xludf.DUMMYFUNCTION("""COMPUTED_VALUE"""),60.0)</f>
        <v>60</v>
      </c>
      <c r="Y19" s="5"/>
      <c r="Z19" s="5"/>
      <c r="AA19" s="5">
        <f>IFERROR(__xludf.DUMMYFUNCTION("""COMPUTED_VALUE"""),36.0)</f>
        <v>36</v>
      </c>
      <c r="AB19" s="5">
        <f>IFERROR(__xludf.DUMMYFUNCTION("""COMPUTED_VALUE"""),156.0)</f>
        <v>156</v>
      </c>
      <c r="AC19" s="5">
        <f>IFERROR(__xludf.DUMMYFUNCTION("""COMPUTED_VALUE"""),333.0)</f>
        <v>333</v>
      </c>
      <c r="AD19" s="5">
        <f>IFERROR(__xludf.DUMMYFUNCTION("""COMPUTED_VALUE"""),177.0)</f>
        <v>177</v>
      </c>
      <c r="AE19" s="5"/>
      <c r="AF19" s="5"/>
      <c r="AG19" s="5"/>
      <c r="AH19" s="5"/>
      <c r="AI19" s="5"/>
      <c r="AJ19" s="5"/>
      <c r="AK19" s="5"/>
      <c r="AL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f>IFERROR(__xludf.DUMMYFUNCTION("""COMPUTED_VALUE"""),0.0)</f>
        <v>0</v>
      </c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>
      <c r="A21" s="5"/>
      <c r="B21" s="5" t="str">
        <f>IFERROR(__xludf.DUMMYFUNCTION("""COMPUTED_VALUE"""),"Tuesday")</f>
        <v>Tuesday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>
        <f>IFERROR(__xludf.DUMMYFUNCTION("""COMPUTED_VALUE"""),0.0)</f>
        <v>0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>
      <c r="A22" s="5" t="str">
        <f>IFERROR(__xludf.DUMMYFUNCTION("""COMPUTED_VALUE"""),"yes")</f>
        <v>yes</v>
      </c>
      <c r="B22" s="5" t="str">
        <f>IFERROR(__xludf.DUMMYFUNCTION("""COMPUTED_VALUE"""),"AJErnstraat")</f>
        <v>AJErnstraat</v>
      </c>
      <c r="C22" s="16">
        <f>IFERROR(__xludf.DUMMYFUNCTION("""COMPUTED_VALUE"""),0.125)</f>
        <v>0.125</v>
      </c>
      <c r="D22" s="5" t="str">
        <f>IFERROR(__xludf.DUMMYFUNCTION("""COMPUTED_VALUE"""),"Tuesday 3:15-5:30 High Performance AICS Pickup Ages 8-12")</f>
        <v>Tuesday 3:15-5:30 High Performance AICS Pickup Ages 8-12</v>
      </c>
      <c r="E22" s="13">
        <f>IFERROR(__xludf.DUMMYFUNCTION("""COMPUTED_VALUE"""),45663.0)</f>
        <v>45663</v>
      </c>
      <c r="F22" s="14">
        <f>IFERROR(__xludf.DUMMYFUNCTION("""COMPUTED_VALUE"""),45747.0)</f>
        <v>45747</v>
      </c>
      <c r="G22" s="5">
        <f>IFERROR(__xludf.DUMMYFUNCTION("""COMPUTED_VALUE"""),12.0)</f>
        <v>12</v>
      </c>
      <c r="H22" s="15">
        <f>IFERROR(__xludf.DUMMYFUNCTION("""COMPUTED_VALUE"""),2.25)</f>
        <v>2.25</v>
      </c>
      <c r="I22" s="6">
        <f>IFERROR(__xludf.DUMMYFUNCTION("""COMPUTED_VALUE"""),45.0)</f>
        <v>45</v>
      </c>
      <c r="J22" s="5">
        <f>IFERROR(__xludf.DUMMYFUNCTION("""COMPUTED_VALUE"""),540.0)</f>
        <v>540</v>
      </c>
      <c r="K22" s="5"/>
      <c r="L22" s="5">
        <f>IFERROR(__xludf.DUMMYFUNCTION("""COMPUTED_VALUE"""),7.0)</f>
        <v>7</v>
      </c>
      <c r="M22" s="5">
        <f>IFERROR(__xludf.DUMMYFUNCTION("""COMPUTED_VALUE"""),10.0)</f>
        <v>10</v>
      </c>
      <c r="N22" s="5"/>
      <c r="O22" s="13">
        <f>IFERROR(__xludf.DUMMYFUNCTION("""COMPUTED_VALUE"""),45712.0)</f>
        <v>45712</v>
      </c>
      <c r="P22" s="5"/>
      <c r="Q22" s="5" t="str">
        <f>IFERROR(__xludf.DUMMYFUNCTION("""COMPUTED_VALUE"""),"Farah")</f>
        <v>Farah</v>
      </c>
      <c r="R22" s="5" t="str">
        <f>IFERROR(__xludf.DUMMYFUNCTION("""COMPUTED_VALUE"""),"Set")</f>
        <v>Set</v>
      </c>
      <c r="S22" s="5"/>
      <c r="T22" s="5"/>
      <c r="U22" s="5"/>
      <c r="V22" s="5"/>
      <c r="W22" s="5">
        <f>IFERROR(__xludf.DUMMYFUNCTION("""COMPUTED_VALUE"""),117.0)</f>
        <v>117</v>
      </c>
      <c r="X22" s="5">
        <f>IFERROR(__xludf.DUMMYFUNCTION("""COMPUTED_VALUE"""),18.0)</f>
        <v>18</v>
      </c>
      <c r="Y22" s="5">
        <f>IFERROR(__xludf.DUMMYFUNCTION("""COMPUTED_VALUE"""),90.0)</f>
        <v>90</v>
      </c>
      <c r="Z22" s="5"/>
      <c r="AA22" s="5">
        <f>IFERROR(__xludf.DUMMYFUNCTION("""COMPUTED_VALUE"""),96.0)</f>
        <v>96</v>
      </c>
      <c r="AB22" s="5">
        <f>IFERROR(__xludf.DUMMYFUNCTION("""COMPUTED_VALUE"""),321.0)</f>
        <v>321</v>
      </c>
      <c r="AC22" s="5">
        <f>IFERROR(__xludf.DUMMYFUNCTION("""COMPUTED_VALUE"""),485.0)</f>
        <v>485</v>
      </c>
      <c r="AD22" s="5">
        <f>IFERROR(__xludf.DUMMYFUNCTION("""COMPUTED_VALUE"""),164.0)</f>
        <v>164</v>
      </c>
      <c r="AE22" s="5"/>
      <c r="AF22" s="5"/>
      <c r="AG22" s="5"/>
      <c r="AH22" s="5"/>
      <c r="AI22" s="5"/>
      <c r="AJ22" s="5"/>
      <c r="AK22" s="5"/>
      <c r="AL22" s="5"/>
    </row>
    <row r="23">
      <c r="A23" s="5" t="str">
        <f>IFERROR(__xludf.DUMMYFUNCTION("""COMPUTED_VALUE"""),"yes")</f>
        <v>yes</v>
      </c>
      <c r="B23" s="5" t="str">
        <f>IFERROR(__xludf.DUMMYFUNCTION("""COMPUTED_VALUE"""),"AJErnstraat")</f>
        <v>AJErnstraat</v>
      </c>
      <c r="C23" s="5"/>
      <c r="D23" s="5" t="str">
        <f>IFERROR(__xludf.DUMMYFUNCTION("""COMPUTED_VALUE"""),"Tuesday 4:00-5:30 High Performance Ages 8-12")</f>
        <v>Tuesday 4:00-5:30 High Performance Ages 8-12</v>
      </c>
      <c r="E23" s="13">
        <f>IFERROR(__xludf.DUMMYFUNCTION("""COMPUTED_VALUE"""),45663.0)</f>
        <v>45663</v>
      </c>
      <c r="F23" s="14">
        <f>IFERROR(__xludf.DUMMYFUNCTION("""COMPUTED_VALUE"""),45747.0)</f>
        <v>45747</v>
      </c>
      <c r="G23" s="5">
        <f>IFERROR(__xludf.DUMMYFUNCTION("""COMPUTED_VALUE"""),12.0)</f>
        <v>12</v>
      </c>
      <c r="H23" s="15">
        <f>IFERROR(__xludf.DUMMYFUNCTION("""COMPUTED_VALUE"""),1.5)</f>
        <v>1.5</v>
      </c>
      <c r="I23" s="6">
        <f>IFERROR(__xludf.DUMMYFUNCTION("""COMPUTED_VALUE"""),34.0)</f>
        <v>34</v>
      </c>
      <c r="J23" s="5">
        <f>IFERROR(__xludf.DUMMYFUNCTION("""COMPUTED_VALUE"""),408.0)</f>
        <v>408</v>
      </c>
      <c r="K23" s="5"/>
      <c r="L23" s="5">
        <f>IFERROR(__xludf.DUMMYFUNCTION("""COMPUTED_VALUE"""),5.0)</f>
        <v>5</v>
      </c>
      <c r="M23" s="5">
        <f>IFERROR(__xludf.DUMMYFUNCTION("""COMPUTED_VALUE"""),4.0)</f>
        <v>4</v>
      </c>
      <c r="N23" s="5"/>
      <c r="O23" s="13">
        <f>IFERROR(__xludf.DUMMYFUNCTION("""COMPUTED_VALUE"""),45712.0)</f>
        <v>45712</v>
      </c>
      <c r="P23" s="5"/>
      <c r="Q23" s="5" t="str">
        <f>IFERROR(__xludf.DUMMYFUNCTION("""COMPUTED_VALUE"""),"Farah")</f>
        <v>Farah</v>
      </c>
      <c r="R23" s="5" t="str">
        <f>IFERROR(__xludf.DUMMYFUNCTION("""COMPUTED_VALUE"""),"Set")</f>
        <v>Set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>
      <c r="A24" s="5"/>
      <c r="B24" s="5" t="str">
        <f>IFERROR(__xludf.DUMMYFUNCTION("""COMPUTED_VALUE"""),"AICS On Campus at South")</f>
        <v>AICS On Campus at South</v>
      </c>
      <c r="C24" s="16">
        <f>IFERROR(__xludf.DUMMYFUNCTION("""COMPUTED_VALUE"""),0.125)</f>
        <v>0.125</v>
      </c>
      <c r="D24" s="5" t="str">
        <f>IFERROR(__xludf.DUMMYFUNCTION("""COMPUTED_VALUE"""),"Tuesday 3:15-4:30 Outside &amp; Little Gym")</f>
        <v>Tuesday 3:15-4:30 Outside &amp; Little Gym</v>
      </c>
      <c r="E24" s="15" t="str">
        <f>IFERROR(__xludf.DUMMYFUNCTION("""COMPUTED_VALUE"""),"Sept 23")</f>
        <v>Sept 23</v>
      </c>
      <c r="F24" s="13">
        <f>IFERROR(__xludf.DUMMYFUNCTION("""COMPUTED_VALUE"""),45698.0)</f>
        <v>45698</v>
      </c>
      <c r="G24" s="5">
        <f>IFERROR(__xludf.DUMMYFUNCTION("""COMPUTED_VALUE"""),17.0)</f>
        <v>17</v>
      </c>
      <c r="H24" s="15">
        <f>IFERROR(__xludf.DUMMYFUNCTION("""COMPUTED_VALUE"""),1.75)</f>
        <v>1.75</v>
      </c>
      <c r="I24" s="15">
        <f>IFERROR(__xludf.DUMMYFUNCTION("""COMPUTED_VALUE"""),25.88)</f>
        <v>25.88</v>
      </c>
      <c r="J24" s="5">
        <f>IFERROR(__xludf.DUMMYFUNCTION("""COMPUTED_VALUE"""),440.0)</f>
        <v>440</v>
      </c>
      <c r="K24" s="5"/>
      <c r="L24" s="5"/>
      <c r="M24" s="5">
        <f>IFERROR(__xludf.DUMMYFUNCTION("""COMPUTED_VALUE"""),14.0)</f>
        <v>14</v>
      </c>
      <c r="N24" s="15" t="str">
        <f>IFERROR(__xludf.DUMMYFUNCTION("""COMPUTED_VALUE"""),"Actual Dates: 23-09, 30-09, 07-10, 14-10, 28-10, 4-11, 11-11, 18-11, 25-11, 02-12, 09-12, 06-01, 13-1, 20-1, 27-1, 3-2, 10-2)")</f>
        <v>Actual Dates: 23-09, 30-09, 07-10, 14-10, 28-10, 4-11, 11-11, 18-11, 25-11, 02-12, 09-12, 06-01, 13-1, 20-1, 27-1, 3-2, 10-2)</v>
      </c>
      <c r="O24" s="5"/>
      <c r="P24" s="5"/>
      <c r="Q24" s="5" t="str">
        <f>IFERROR(__xludf.DUMMYFUNCTION("""COMPUTED_VALUE"""),"Noah")</f>
        <v>Noah</v>
      </c>
      <c r="R24" s="5" t="str">
        <f>IFERROR(__xludf.DUMMYFUNCTION("""COMPUTED_VALUE"""),"Giorgio")</f>
        <v>Giorgio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>
      <c r="A26" s="5"/>
      <c r="B26" s="5" t="str">
        <f>IFERROR(__xludf.DUMMYFUNCTION("""COMPUTED_VALUE"""),"Wednesday")</f>
        <v>Wednesday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>
      <c r="A27" s="5" t="str">
        <f>IFERROR(__xludf.DUMMYFUNCTION("""COMPUTED_VALUE"""),"yes")</f>
        <v>yes</v>
      </c>
      <c r="B27" s="5" t="str">
        <f>IFERROR(__xludf.DUMMYFUNCTION("""COMPUTED_VALUE"""),"AJErnstraat")</f>
        <v>AJErnstraat</v>
      </c>
      <c r="C27" s="5" t="str">
        <f>IFERROR(__xludf.DUMMYFUNCTION("""COMPUTED_VALUE"""),"11:45 coaches arrive at Triaz. Class starts at 12:45")</f>
        <v>11:45 coaches arrive at Triaz. Class starts at 12:45</v>
      </c>
      <c r="D27" s="5" t="str">
        <f>IFERROR(__xludf.DUMMYFUNCTION("""COMPUTED_VALUE"""),"Wednesday 12-2:15 Adv. Beginner AICS Pickup Ages 7-9")</f>
        <v>Wednesday 12-2:15 Adv. Beginner AICS Pickup Ages 7-9</v>
      </c>
      <c r="E27" s="13">
        <f>IFERROR(__xludf.DUMMYFUNCTION("""COMPUTED_VALUE"""),45664.0)</f>
        <v>45664</v>
      </c>
      <c r="F27" s="13">
        <f>IFERROR(__xludf.DUMMYFUNCTION("""COMPUTED_VALUE"""),45741.0)</f>
        <v>45741</v>
      </c>
      <c r="G27" s="5">
        <f>IFERROR(__xludf.DUMMYFUNCTION("""COMPUTED_VALUE"""),11.0)</f>
        <v>11</v>
      </c>
      <c r="H27" s="15">
        <f>IFERROR(__xludf.DUMMYFUNCTION("""COMPUTED_VALUE"""),2.25)</f>
        <v>2.25</v>
      </c>
      <c r="I27" s="6">
        <f>IFERROR(__xludf.DUMMYFUNCTION("""COMPUTED_VALUE"""),45.0)</f>
        <v>45</v>
      </c>
      <c r="J27" s="5">
        <f>IFERROR(__xludf.DUMMYFUNCTION("""COMPUTED_VALUE"""),495.0)</f>
        <v>495</v>
      </c>
      <c r="K27" s="5"/>
      <c r="L27" s="5">
        <f>IFERROR(__xludf.DUMMYFUNCTION("""COMPUTED_VALUE"""),8.0)</f>
        <v>8</v>
      </c>
      <c r="M27" s="5">
        <f>IFERROR(__xludf.DUMMYFUNCTION("""COMPUTED_VALUE"""),9.0)</f>
        <v>9</v>
      </c>
      <c r="N27" s="5"/>
      <c r="O27" s="13">
        <f>IFERROR(__xludf.DUMMYFUNCTION("""COMPUTED_VALUE"""),45713.0)</f>
        <v>45713</v>
      </c>
      <c r="P27" s="5"/>
      <c r="Q27" s="5" t="str">
        <f>IFERROR(__xludf.DUMMYFUNCTION("""COMPUTED_VALUE"""),"Farah")</f>
        <v>Farah</v>
      </c>
      <c r="R27" s="5" t="str">
        <f>IFERROR(__xludf.DUMMYFUNCTION("""COMPUTED_VALUE"""),"Giorgio")</f>
        <v>Giorgio</v>
      </c>
      <c r="S27" s="5"/>
      <c r="T27" s="5"/>
      <c r="U27" s="5"/>
      <c r="V27" s="5"/>
      <c r="W27" s="5">
        <f>IFERROR(__xludf.DUMMYFUNCTION("""COMPUTED_VALUE"""),130.0)</f>
        <v>130</v>
      </c>
      <c r="X27" s="5"/>
      <c r="Y27" s="5">
        <f>IFERROR(__xludf.DUMMYFUNCTION("""COMPUTED_VALUE"""),100.0)</f>
        <v>100</v>
      </c>
      <c r="Z27" s="5">
        <f>IFERROR(__xludf.DUMMYFUNCTION("""COMPUTED_VALUE"""),52.5)</f>
        <v>52.5</v>
      </c>
      <c r="AA27" s="5">
        <f>IFERROR(__xludf.DUMMYFUNCTION("""COMPUTED_VALUE"""),96.0)</f>
        <v>96</v>
      </c>
      <c r="AB27" s="5">
        <f>IFERROR(__xludf.DUMMYFUNCTION("""COMPUTED_VALUE"""),378.5)</f>
        <v>378.5</v>
      </c>
      <c r="AC27" s="5">
        <f>IFERROR(__xludf.DUMMYFUNCTION("""COMPUTED_VALUE"""),510.0)</f>
        <v>510</v>
      </c>
      <c r="AD27" s="5">
        <f>IFERROR(__xludf.DUMMYFUNCTION("""COMPUTED_VALUE"""),131.5)</f>
        <v>131.5</v>
      </c>
      <c r="AE27" s="5"/>
      <c r="AF27" s="5"/>
      <c r="AG27" s="5"/>
      <c r="AH27" s="5"/>
      <c r="AI27" s="5"/>
      <c r="AJ27" s="5"/>
      <c r="AK27" s="5"/>
      <c r="AL27" s="5"/>
    </row>
    <row r="28">
      <c r="A28" s="5" t="str">
        <f>IFERROR(__xludf.DUMMYFUNCTION("""COMPUTED_VALUE"""),"yes")</f>
        <v>yes</v>
      </c>
      <c r="B28" s="5" t="str">
        <f>IFERROR(__xludf.DUMMYFUNCTION("""COMPUTED_VALUE"""),"AJErnstraat")</f>
        <v>AJErnstraat</v>
      </c>
      <c r="C28" s="5" t="str">
        <f>IFERROR(__xludf.DUMMYFUNCTION("""COMPUTED_VALUE"""),"11:45 coaches arrive at Triaz. Class starts at 12:45")</f>
        <v>11:45 coaches arrive at Triaz. Class starts at 12:45</v>
      </c>
      <c r="D28" s="5" t="str">
        <f>IFERROR(__xludf.DUMMYFUNCTION("""COMPUTED_VALUE"""),"Wednesday 12-1:45 Adv. Beginner AICS Pickup Ages 4-6")</f>
        <v>Wednesday 12-1:45 Adv. Beginner AICS Pickup Ages 4-6</v>
      </c>
      <c r="E28" s="13">
        <f>IFERROR(__xludf.DUMMYFUNCTION("""COMPUTED_VALUE"""),45664.0)</f>
        <v>45664</v>
      </c>
      <c r="F28" s="13">
        <f>IFERROR(__xludf.DUMMYFUNCTION("""COMPUTED_VALUE"""),45741.0)</f>
        <v>45741</v>
      </c>
      <c r="G28" s="5">
        <f>IFERROR(__xludf.DUMMYFUNCTION("""COMPUTED_VALUE"""),11.0)</f>
        <v>11</v>
      </c>
      <c r="H28" s="15">
        <f>IFERROR(__xludf.DUMMYFUNCTION("""COMPUTED_VALUE"""),0.75)</f>
        <v>0.75</v>
      </c>
      <c r="I28" s="6">
        <f>IFERROR(__xludf.DUMMYFUNCTION("""COMPUTED_VALUE"""),30.0)</f>
        <v>30</v>
      </c>
      <c r="J28" s="5">
        <f>IFERROR(__xludf.DUMMYFUNCTION("""COMPUTED_VALUE"""),330.0)</f>
        <v>330</v>
      </c>
      <c r="K28" s="5"/>
      <c r="L28" s="5">
        <f>IFERROR(__xludf.DUMMYFUNCTION("""COMPUTED_VALUE"""),5.0)</f>
        <v>5</v>
      </c>
      <c r="M28" s="5">
        <f>IFERROR(__xludf.DUMMYFUNCTION("""COMPUTED_VALUE"""),5.0)</f>
        <v>5</v>
      </c>
      <c r="N28" s="6" t="str">
        <f>IFERROR(__xludf.DUMMYFUNCTION("""COMPUTED_VALUE"""),"need to update rate for winter")</f>
        <v>need to update rate for winter</v>
      </c>
      <c r="O28" s="13">
        <f>IFERROR(__xludf.DUMMYFUNCTION("""COMPUTED_VALUE"""),45713.0)</f>
        <v>45713</v>
      </c>
      <c r="P28" s="5"/>
      <c r="Q28" s="5" t="str">
        <f>IFERROR(__xludf.DUMMYFUNCTION("""COMPUTED_VALUE"""),"Farah")</f>
        <v>Farah</v>
      </c>
      <c r="R28" s="5" t="str">
        <f>IFERROR(__xludf.DUMMYFUNCTION("""COMPUTED_VALUE"""),"Melissa (12:30-1:45)")</f>
        <v>Melissa (12:30-1:45)</v>
      </c>
      <c r="S28" s="5"/>
      <c r="T28" s="5"/>
      <c r="U28" s="5"/>
      <c r="V28" s="5"/>
      <c r="W28" s="5">
        <f>IFERROR(__xludf.DUMMYFUNCTION("""COMPUTED_VALUE"""),0.0)</f>
        <v>0</v>
      </c>
      <c r="X28" s="5"/>
      <c r="Y28" s="5"/>
      <c r="Z28" s="5"/>
      <c r="AA28" s="5"/>
      <c r="AB28" s="5">
        <f>IFERROR(__xludf.DUMMYFUNCTION("""COMPUTED_VALUE"""),0.0)</f>
        <v>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>
      <c r="A29" s="5"/>
      <c r="B29" s="5" t="str">
        <f>IFERROR(__xludf.DUMMYFUNCTION("""COMPUTED_VALUE"""),"AJErnstraat")</f>
        <v>AJErnstraat</v>
      </c>
      <c r="C29" s="5" t="str">
        <f>IFERROR(__xludf.DUMMYFUNCTION("""COMPUTED_VALUE"""),"Bakfiets 2")</f>
        <v>Bakfiets 2</v>
      </c>
      <c r="D29" s="5" t="str">
        <f>IFERROR(__xludf.DUMMYFUNCTION("""COMPUTED_VALUE"""),"Wednesday 1:00-2:45 Int'l French School Pickup Ages 8-12- Travel &amp; Snack Break .5hrs, Instruction 1hr")</f>
        <v>Wednesday 1:00-2:45 Int'l French School Pickup Ages 8-12- Travel &amp; Snack Break .5hrs, Instruction 1hr</v>
      </c>
      <c r="E29" s="5" t="str">
        <f>IFERROR(__xludf.DUMMYFUNCTION("""COMPUTED_VALUE"""),"Sept 3")</f>
        <v>Sept 3</v>
      </c>
      <c r="F29" s="14">
        <f>IFERROR(__xludf.DUMMYFUNCTION("""COMPUTED_VALUE"""),45832.0)</f>
        <v>45832</v>
      </c>
      <c r="G29" s="5">
        <f>IFERROR(__xludf.DUMMYFUNCTION("""COMPUTED_VALUE"""),33.0)</f>
        <v>33</v>
      </c>
      <c r="H29" s="15">
        <f>IFERROR(__xludf.DUMMYFUNCTION("""COMPUTED_VALUE"""),1.75)</f>
        <v>1.75</v>
      </c>
      <c r="I29" s="6">
        <f>IFERROR(__xludf.DUMMYFUNCTION("""COMPUTED_VALUE"""),41.0)</f>
        <v>41</v>
      </c>
      <c r="J29" s="5">
        <f>IFERROR(__xludf.DUMMYFUNCTION("""COMPUTED_VALUE"""),1150.0)</f>
        <v>1150</v>
      </c>
      <c r="K29" s="5"/>
      <c r="L29" s="5">
        <f>IFERROR(__xludf.DUMMYFUNCTION("""COMPUTED_VALUE"""),6.0)</f>
        <v>6</v>
      </c>
      <c r="M29" s="5">
        <f>IFERROR(__xludf.DUMMYFUNCTION("""COMPUTED_VALUE"""),6.0)</f>
        <v>6</v>
      </c>
      <c r="N29" s="6" t="str">
        <f>IFERROR(__xludf.DUMMYFUNCTION("""COMPUTED_VALUE"""),"Dec 17-makeup date?")</f>
        <v>Dec 17-makeup date?</v>
      </c>
      <c r="O29" s="5" t="str">
        <f>IFERROR(__xludf.DUMMYFUNCTION("""COMPUTED_VALUE"""),"Oct 22,29, Dec 17, 24,31, Feb 18,25, Apr 22,29, May 13, ")</f>
        <v>Oct 22,29, Dec 17, 24,31, Feb 18,25, Apr 22,29, May 13, </v>
      </c>
      <c r="P29" s="5"/>
      <c r="Q29" s="5" t="str">
        <f>IFERROR(__xludf.DUMMYFUNCTION("""COMPUTED_VALUE"""),"Noah")</f>
        <v>Noah</v>
      </c>
      <c r="R29" s="5"/>
      <c r="S29" s="5"/>
      <c r="T29" s="5"/>
      <c r="U29" s="5"/>
      <c r="V29" s="5"/>
      <c r="W29" s="5">
        <f>IFERROR(__xludf.DUMMYFUNCTION("""COMPUTED_VALUE"""),90.0)</f>
        <v>90</v>
      </c>
      <c r="X29" s="5"/>
      <c r="Y29" s="5"/>
      <c r="Z29" s="5"/>
      <c r="AA29" s="5">
        <f>IFERROR(__xludf.DUMMYFUNCTION("""COMPUTED_VALUE"""),0.0)</f>
        <v>0</v>
      </c>
      <c r="AB29" s="5">
        <f>IFERROR(__xludf.DUMMYFUNCTION("""COMPUTED_VALUE"""),90.0)</f>
        <v>90</v>
      </c>
      <c r="AC29" s="5">
        <f>IFERROR(__xludf.DUMMYFUNCTION("""COMPUTED_VALUE"""),246.0)</f>
        <v>246</v>
      </c>
      <c r="AD29" s="5">
        <f>IFERROR(__xludf.DUMMYFUNCTION("""COMPUTED_VALUE"""),156.0)</f>
        <v>156</v>
      </c>
      <c r="AE29" s="5"/>
      <c r="AF29" s="5"/>
      <c r="AG29" s="5"/>
      <c r="AH29" s="5"/>
      <c r="AI29" s="5"/>
      <c r="AJ29" s="5"/>
      <c r="AK29" s="5"/>
      <c r="AL29" s="5"/>
    </row>
    <row r="30">
      <c r="A30" s="5" t="str">
        <f>IFERROR(__xludf.DUMMYFUNCTION("""COMPUTED_VALUE"""),"yes")</f>
        <v>yes</v>
      </c>
      <c r="B30" s="5" t="str">
        <f>IFERROR(__xludf.DUMMYFUNCTION("""COMPUTED_VALUE"""),"AJErnstraat")</f>
        <v>AJErnstraat</v>
      </c>
      <c r="C30" s="5"/>
      <c r="D30" s="5" t="str">
        <f>IFERROR(__xludf.DUMMYFUNCTION("""COMPUTED_VALUE"""),"Wednesday 2:45-3:30 Ages 4-6")</f>
        <v>Wednesday 2:45-3:30 Ages 4-6</v>
      </c>
      <c r="E30" s="13">
        <f>IFERROR(__xludf.DUMMYFUNCTION("""COMPUTED_VALUE"""),45664.0)</f>
        <v>45664</v>
      </c>
      <c r="F30" s="13">
        <f>IFERROR(__xludf.DUMMYFUNCTION("""COMPUTED_VALUE"""),45741.0)</f>
        <v>45741</v>
      </c>
      <c r="G30" s="5">
        <f>IFERROR(__xludf.DUMMYFUNCTION("""COMPUTED_VALUE"""),11.0)</f>
        <v>11</v>
      </c>
      <c r="H30" s="15">
        <f>IFERROR(__xludf.DUMMYFUNCTION("""COMPUTED_VALUE"""),0.75)</f>
        <v>0.75</v>
      </c>
      <c r="I30" s="6">
        <f>IFERROR(__xludf.DUMMYFUNCTION("""COMPUTED_VALUE"""),19.0)</f>
        <v>19</v>
      </c>
      <c r="J30" s="5">
        <f>IFERROR(__xludf.DUMMYFUNCTION("""COMPUTED_VALUE"""),209.0)</f>
        <v>209</v>
      </c>
      <c r="K30" s="5"/>
      <c r="L30" s="5">
        <f>IFERROR(__xludf.DUMMYFUNCTION("""COMPUTED_VALUE"""),6.0)</f>
        <v>6</v>
      </c>
      <c r="M30" s="5">
        <f>IFERROR(__xludf.DUMMYFUNCTION("""COMPUTED_VALUE"""),6.0)</f>
        <v>6</v>
      </c>
      <c r="N30" s="5"/>
      <c r="O30" s="13">
        <f>IFERROR(__xludf.DUMMYFUNCTION("""COMPUTED_VALUE"""),45713.0)</f>
        <v>45713</v>
      </c>
      <c r="P30" s="5"/>
      <c r="Q30" s="5" t="str">
        <f>IFERROR(__xludf.DUMMYFUNCTION("""COMPUTED_VALUE"""),"Farah")</f>
        <v>Farah</v>
      </c>
      <c r="R30" s="5" t="str">
        <f>IFERROR(__xludf.DUMMYFUNCTION("""COMPUTED_VALUE"""),"Giorgio")</f>
        <v>Giorgio</v>
      </c>
      <c r="S30" s="5"/>
      <c r="T30" s="5"/>
      <c r="U30" s="5"/>
      <c r="V30" s="5"/>
      <c r="W30" s="5">
        <f>IFERROR(__xludf.DUMMYFUNCTION("""COMPUTED_VALUE"""),30.0)</f>
        <v>30</v>
      </c>
      <c r="X30" s="5"/>
      <c r="Y30" s="5"/>
      <c r="Z30" s="5"/>
      <c r="AA30" s="5">
        <f>IFERROR(__xludf.DUMMYFUNCTION("""COMPUTED_VALUE"""),0.0)</f>
        <v>0</v>
      </c>
      <c r="AB30" s="5">
        <f>IFERROR(__xludf.DUMMYFUNCTION("""COMPUTED_VALUE"""),30.0)</f>
        <v>30</v>
      </c>
      <c r="AC30" s="5">
        <f>IFERROR(__xludf.DUMMYFUNCTION("""COMPUTED_VALUE"""),114.0)</f>
        <v>114</v>
      </c>
      <c r="AD30" s="5">
        <f>IFERROR(__xludf.DUMMYFUNCTION("""COMPUTED_VALUE"""),84.0)</f>
        <v>84</v>
      </c>
      <c r="AE30" s="5"/>
      <c r="AF30" s="5"/>
      <c r="AG30" s="5"/>
      <c r="AH30" s="5"/>
      <c r="AI30" s="5"/>
      <c r="AJ30" s="5"/>
      <c r="AK30" s="5"/>
      <c r="AL30" s="5"/>
    </row>
    <row r="31">
      <c r="A31" s="5" t="str">
        <f>IFERROR(__xludf.DUMMYFUNCTION("""COMPUTED_VALUE"""),"yes")</f>
        <v>yes</v>
      </c>
      <c r="B31" s="5" t="str">
        <f>IFERROR(__xludf.DUMMYFUNCTION("""COMPUTED_VALUE"""),"AJErnstraat")</f>
        <v>AJErnstraat</v>
      </c>
      <c r="C31" s="5"/>
      <c r="D31" s="5" t="str">
        <f>IFERROR(__xludf.DUMMYFUNCTION("""COMPUTED_VALUE"""),"Wednesday 2:45-3:45 Ages 5-7 Advanced")</f>
        <v>Wednesday 2:45-3:45 Ages 5-7 Advanced</v>
      </c>
      <c r="E31" s="13">
        <f>IFERROR(__xludf.DUMMYFUNCTION("""COMPUTED_VALUE"""),45664.0)</f>
        <v>45664</v>
      </c>
      <c r="F31" s="13">
        <f>IFERROR(__xludf.DUMMYFUNCTION("""COMPUTED_VALUE"""),45741.0)</f>
        <v>45741</v>
      </c>
      <c r="G31" s="5">
        <f>IFERROR(__xludf.DUMMYFUNCTION("""COMPUTED_VALUE"""),11.0)</f>
        <v>11</v>
      </c>
      <c r="H31" s="15">
        <f>IFERROR(__xludf.DUMMYFUNCTION("""COMPUTED_VALUE"""),1.0)</f>
        <v>1</v>
      </c>
      <c r="I31" s="6">
        <f>IFERROR(__xludf.DUMMYFUNCTION("""COMPUTED_VALUE"""),28.0)</f>
        <v>28</v>
      </c>
      <c r="J31" s="5">
        <f>IFERROR(__xludf.DUMMYFUNCTION("""COMPUTED_VALUE"""),308.0)</f>
        <v>308</v>
      </c>
      <c r="K31" s="5"/>
      <c r="L31" s="5">
        <f>IFERROR(__xludf.DUMMYFUNCTION("""COMPUTED_VALUE"""),4.0)</f>
        <v>4</v>
      </c>
      <c r="M31" s="5">
        <f>IFERROR(__xludf.DUMMYFUNCTION("""COMPUTED_VALUE"""),8.0)</f>
        <v>8</v>
      </c>
      <c r="N31" s="5"/>
      <c r="O31" s="13">
        <f>IFERROR(__xludf.DUMMYFUNCTION("""COMPUTED_VALUE"""),45713.0)</f>
        <v>45713</v>
      </c>
      <c r="P31" s="5"/>
      <c r="Q31" s="5" t="str">
        <f>IFERROR(__xludf.DUMMYFUNCTION("""COMPUTED_VALUE"""),"Farah")</f>
        <v>Farah</v>
      </c>
      <c r="R31" s="5" t="str">
        <f>IFERROR(__xludf.DUMMYFUNCTION("""COMPUTED_VALUE"""),"Giorgio")</f>
        <v>Giorgio</v>
      </c>
      <c r="S31" s="5"/>
      <c r="T31" s="5"/>
      <c r="U31" s="5"/>
      <c r="V31" s="5"/>
      <c r="W31" s="5">
        <f>IFERROR(__xludf.DUMMYFUNCTION("""COMPUTED_VALUE"""),53.0)</f>
        <v>53</v>
      </c>
      <c r="X31" s="5"/>
      <c r="Y31" s="5"/>
      <c r="Z31" s="5"/>
      <c r="AA31" s="5">
        <f>IFERROR(__xludf.DUMMYFUNCTION("""COMPUTED_VALUE"""),46.0)</f>
        <v>46</v>
      </c>
      <c r="AB31" s="5">
        <f>IFERROR(__xludf.DUMMYFUNCTION("""COMPUTED_VALUE"""),99.0)</f>
        <v>99</v>
      </c>
      <c r="AC31" s="5">
        <f>IFERROR(__xludf.DUMMYFUNCTION("""COMPUTED_VALUE"""),112.0)</f>
        <v>112</v>
      </c>
      <c r="AD31" s="5">
        <f>IFERROR(__xludf.DUMMYFUNCTION("""COMPUTED_VALUE"""),13.0)</f>
        <v>13</v>
      </c>
      <c r="AE31" s="5"/>
      <c r="AF31" s="5"/>
      <c r="AG31" s="5"/>
      <c r="AH31" s="5"/>
      <c r="AI31" s="5"/>
      <c r="AJ31" s="5"/>
      <c r="AK31" s="5"/>
      <c r="AL31" s="5"/>
    </row>
    <row r="32">
      <c r="A32" s="5" t="str">
        <f>IFERROR(__xludf.DUMMYFUNCTION("""COMPUTED_VALUE"""),"yes")</f>
        <v>yes</v>
      </c>
      <c r="B32" s="5" t="str">
        <f>IFERROR(__xludf.DUMMYFUNCTION("""COMPUTED_VALUE"""),"AJErnstraat")</f>
        <v>AJErnstraat</v>
      </c>
      <c r="C32" s="5" t="str">
        <f>IFERROR(__xludf.DUMMYFUNCTION("""COMPUTED_VALUE"""),"changed")</f>
        <v>changed</v>
      </c>
      <c r="D32" s="5" t="str">
        <f>IFERROR(__xludf.DUMMYFUNCTION("""COMPUTED_VALUE"""),"Wednesday 4:00-5:30 Ages 7-12 Beginner to High Performance divided by level")</f>
        <v>Wednesday 4:00-5:30 Ages 7-12 Beginner to High Performance divided by level</v>
      </c>
      <c r="E32" s="13">
        <f>IFERROR(__xludf.DUMMYFUNCTION("""COMPUTED_VALUE"""),46050.0)</f>
        <v>46050</v>
      </c>
      <c r="F32" s="13">
        <f>IFERROR(__xludf.DUMMYFUNCTION("""COMPUTED_VALUE"""),45741.0)</f>
        <v>45741</v>
      </c>
      <c r="G32" s="5">
        <f>IFERROR(__xludf.DUMMYFUNCTION("""COMPUTED_VALUE"""),8.0)</f>
        <v>8</v>
      </c>
      <c r="H32" s="15">
        <f>IFERROR(__xludf.DUMMYFUNCTION("""COMPUTED_VALUE"""),1.5)</f>
        <v>1.5</v>
      </c>
      <c r="I32" s="6">
        <f>IFERROR(__xludf.DUMMYFUNCTION("""COMPUTED_VALUE"""),34.0)</f>
        <v>34</v>
      </c>
      <c r="J32" s="5">
        <f>IFERROR(__xludf.DUMMYFUNCTION("""COMPUTED_VALUE"""),272.0)</f>
        <v>272</v>
      </c>
      <c r="K32" s="5"/>
      <c r="L32" s="5">
        <f>IFERROR(__xludf.DUMMYFUNCTION("""COMPUTED_VALUE"""),1.0)</f>
        <v>1</v>
      </c>
      <c r="M32" s="5">
        <f>IFERROR(__xludf.DUMMYFUNCTION("""COMPUTED_VALUE"""),6.0)</f>
        <v>6</v>
      </c>
      <c r="N32" s="5"/>
      <c r="O32" s="13">
        <f>IFERROR(__xludf.DUMMYFUNCTION("""COMPUTED_VALUE"""),45713.0)</f>
        <v>45713</v>
      </c>
      <c r="P32" s="5"/>
      <c r="Q32" s="5" t="str">
        <f>IFERROR(__xludf.DUMMYFUNCTION("""COMPUTED_VALUE"""),"Ramzi")</f>
        <v>Ramzi</v>
      </c>
      <c r="R32" s="5"/>
      <c r="S32" s="5"/>
      <c r="T32" s="5"/>
      <c r="U32" s="5"/>
      <c r="V32" s="5"/>
      <c r="W32" s="5">
        <f>IFERROR(__xludf.DUMMYFUNCTION("""COMPUTED_VALUE"""),64.5)</f>
        <v>64.5</v>
      </c>
      <c r="X32" s="5"/>
      <c r="Y32" s="5"/>
      <c r="Z32" s="5"/>
      <c r="AA32" s="5">
        <f>IFERROR(__xludf.DUMMYFUNCTION("""COMPUTED_VALUE"""),69.0)</f>
        <v>69</v>
      </c>
      <c r="AB32" s="5">
        <f>IFERROR(__xludf.DUMMYFUNCTION("""COMPUTED_VALUE"""),0.0)</f>
        <v>0</v>
      </c>
      <c r="AC32" s="5">
        <f>IFERROR(__xludf.DUMMYFUNCTION("""COMPUTED_VALUE"""),0.0)</f>
        <v>0</v>
      </c>
      <c r="AD32" s="5">
        <f>IFERROR(__xludf.DUMMYFUNCTION("""COMPUTED_VALUE"""),0.0)</f>
        <v>0</v>
      </c>
      <c r="AE32" s="5"/>
      <c r="AF32" s="5"/>
      <c r="AG32" s="5"/>
      <c r="AH32" s="5"/>
      <c r="AI32" s="5"/>
      <c r="AJ32" s="5"/>
      <c r="AK32" s="5"/>
      <c r="AL32" s="5"/>
    </row>
    <row r="33">
      <c r="A33" s="5"/>
      <c r="B33" s="5" t="str">
        <f>IFERROR(__xludf.DUMMYFUNCTION("""COMPUTED_VALUE"""),"Thursday")</f>
        <v>Thursday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f>IFERROR(__xludf.DUMMYFUNCTION("""COMPUTED_VALUE"""),0.0)</f>
        <v>0</v>
      </c>
      <c r="AC33" s="5">
        <f>IFERROR(__xludf.DUMMYFUNCTION("""COMPUTED_VALUE"""),0.0)</f>
        <v>0</v>
      </c>
      <c r="AD33" s="5">
        <f>IFERROR(__xludf.DUMMYFUNCTION("""COMPUTED_VALUE"""),0.0)</f>
        <v>0</v>
      </c>
      <c r="AE33" s="5"/>
      <c r="AF33" s="5"/>
      <c r="AG33" s="5"/>
      <c r="AH33" s="5"/>
      <c r="AI33" s="5"/>
      <c r="AJ33" s="5"/>
      <c r="AK33" s="5"/>
      <c r="AL33" s="5"/>
    </row>
    <row r="34">
      <c r="A34" s="5" t="str">
        <f>IFERROR(__xludf.DUMMYFUNCTION("""COMPUTED_VALUE"""),"yes")</f>
        <v>yes</v>
      </c>
      <c r="B34" s="5" t="str">
        <f>IFERROR(__xludf.DUMMYFUNCTION("""COMPUTED_VALUE"""),"VU")</f>
        <v>VU</v>
      </c>
      <c r="C34" s="5" t="str">
        <f>IFERROR(__xludf.DUMMYFUNCTION("""COMPUTED_VALUE"""),"cancelled")</f>
        <v>cancelled</v>
      </c>
      <c r="D34" s="5" t="str">
        <f>IFERROR(__xludf.DUMMYFUNCTION("""COMPUTED_VALUE"""),"Thursday 3:15-5:15 Adv. Beginner AICS Pickup Ages 7-9")</f>
        <v>Thursday 3:15-5:15 Adv. Beginner AICS Pickup Ages 7-9</v>
      </c>
      <c r="E34" s="13">
        <f>IFERROR(__xludf.DUMMYFUNCTION("""COMPUTED_VALUE"""),45665.0)</f>
        <v>45665</v>
      </c>
      <c r="F34" s="13">
        <f>IFERROR(__xludf.DUMMYFUNCTION("""COMPUTED_VALUE"""),45742.0)</f>
        <v>45742</v>
      </c>
      <c r="G34" s="5">
        <f>IFERROR(__xludf.DUMMYFUNCTION("""COMPUTED_VALUE"""),10.0)</f>
        <v>10</v>
      </c>
      <c r="H34" s="15">
        <f>IFERROR(__xludf.DUMMYFUNCTION("""COMPUTED_VALUE"""),1.75)</f>
        <v>1.75</v>
      </c>
      <c r="I34" s="6">
        <f>IFERROR(__xludf.DUMMYFUNCTION("""COMPUTED_VALUE"""),41.0)</f>
        <v>41</v>
      </c>
      <c r="J34" s="5">
        <f>IFERROR(__xludf.DUMMYFUNCTION("""COMPUTED_VALUE"""),410.0)</f>
        <v>410</v>
      </c>
      <c r="K34" s="5"/>
      <c r="L34" s="5"/>
      <c r="M34" s="5">
        <f>IFERROR(__xludf.DUMMYFUNCTION("""COMPUTED_VALUE"""),14.0)</f>
        <v>14</v>
      </c>
      <c r="N34" s="6" t="str">
        <f>IFERROR(__xludf.DUMMYFUNCTION("""COMPUTED_VALUE"""),"Could be 11 but then issue with other thursday group if time of class is changed for Feb 19")</f>
        <v>Could be 11 but then issue with other thursday group if time of class is changed for Feb 19</v>
      </c>
      <c r="O34" s="5" t="str">
        <f>IFERROR(__xludf.DUMMYFUNCTION("""COMPUTED_VALUE"""),"Feb 26/Feb 19 (early release day)")</f>
        <v>Feb 26/Feb 19 (early release day)</v>
      </c>
      <c r="P34" s="5"/>
      <c r="Q34" s="5" t="str">
        <f>IFERROR(__xludf.DUMMYFUNCTION("""COMPUTED_VALUE"""),"Ioannis")</f>
        <v>Ioannis</v>
      </c>
      <c r="R34" s="5" t="str">
        <f>IFERROR(__xludf.DUMMYFUNCTION("""COMPUTED_VALUE"""),"?")</f>
        <v>?</v>
      </c>
      <c r="S34" s="5"/>
      <c r="T34" s="5"/>
      <c r="U34" s="5"/>
      <c r="V34" s="5"/>
      <c r="W34" s="5"/>
      <c r="X34" s="5"/>
      <c r="Y34" s="5"/>
      <c r="Z34" s="5"/>
      <c r="AA34" s="5"/>
      <c r="AB34" s="5">
        <f>IFERROR(__xludf.DUMMYFUNCTION("""COMPUTED_VALUE"""),0.0)</f>
        <v>0</v>
      </c>
      <c r="AC34" s="5">
        <f>IFERROR(__xludf.DUMMYFUNCTION("""COMPUTED_VALUE"""),0.0)</f>
        <v>0</v>
      </c>
      <c r="AD34" s="5">
        <f>IFERROR(__xludf.DUMMYFUNCTION("""COMPUTED_VALUE"""),0.0)</f>
        <v>0</v>
      </c>
      <c r="AE34" s="5"/>
      <c r="AF34" s="5"/>
      <c r="AG34" s="5"/>
      <c r="AH34" s="5"/>
      <c r="AI34" s="5"/>
      <c r="AJ34" s="5"/>
      <c r="AK34" s="5"/>
      <c r="AL34" s="5"/>
    </row>
    <row r="35">
      <c r="A35" s="5" t="str">
        <f>IFERROR(__xludf.DUMMYFUNCTION("""COMPUTED_VALUE"""),"yes")</f>
        <v>yes</v>
      </c>
      <c r="B35" s="5" t="str">
        <f>IFERROR(__xludf.DUMMYFUNCTION("""COMPUTED_VALUE"""),"VU")</f>
        <v>VU</v>
      </c>
      <c r="C35" s="5" t="str">
        <f>IFERROR(__xludf.DUMMYFUNCTION("""COMPUTED_VALUE"""),"cancelled")</f>
        <v>cancelled</v>
      </c>
      <c r="D35" s="5" t="str">
        <f>IFERROR(__xludf.DUMMYFUNCTION("""COMPUTED_VALUE"""),"Thursday 3:45-5:15 Adv Beg. Ages 7-9")</f>
        <v>Thursday 3:45-5:15 Adv Beg. Ages 7-9</v>
      </c>
      <c r="E35" s="13">
        <f>IFERROR(__xludf.DUMMYFUNCTION("""COMPUTED_VALUE"""),45665.0)</f>
        <v>45665</v>
      </c>
      <c r="F35" s="13">
        <f>IFERROR(__xludf.DUMMYFUNCTION("""COMPUTED_VALUE"""),45742.0)</f>
        <v>45742</v>
      </c>
      <c r="G35" s="5">
        <f>IFERROR(__xludf.DUMMYFUNCTION("""COMPUTED_VALUE"""),10.0)</f>
        <v>10</v>
      </c>
      <c r="H35" s="15">
        <f>IFERROR(__xludf.DUMMYFUNCTION("""COMPUTED_VALUE"""),1.5)</f>
        <v>1.5</v>
      </c>
      <c r="I35" s="6">
        <f>IFERROR(__xludf.DUMMYFUNCTION("""COMPUTED_VALUE"""),34.0)</f>
        <v>34</v>
      </c>
      <c r="J35" s="5">
        <f>IFERROR(__xludf.DUMMYFUNCTION("""COMPUTED_VALUE"""),340.0)</f>
        <v>340</v>
      </c>
      <c r="K35" s="5"/>
      <c r="L35" s="5"/>
      <c r="M35" s="5">
        <f>IFERROR(__xludf.DUMMYFUNCTION("""COMPUTED_VALUE"""),6.0)</f>
        <v>6</v>
      </c>
      <c r="N35" s="5"/>
      <c r="O35" s="5" t="str">
        <f>IFERROR(__xludf.DUMMYFUNCTION("""COMPUTED_VALUE"""),"Feb 26/Feb 19 (early release day)")</f>
        <v>Feb 26/Feb 19 (early release day)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f>IFERROR(__xludf.DUMMYFUNCTION("""COMPUTED_VALUE"""),0.0)</f>
        <v>0</v>
      </c>
      <c r="AC35" s="5">
        <f>IFERROR(__xludf.DUMMYFUNCTION("""COMPUTED_VALUE"""),0.0)</f>
        <v>0</v>
      </c>
      <c r="AD35" s="5">
        <f>IFERROR(__xludf.DUMMYFUNCTION("""COMPUTED_VALUE"""),0.0)</f>
        <v>0</v>
      </c>
      <c r="AE35" s="5"/>
      <c r="AF35" s="5"/>
      <c r="AG35" s="5"/>
      <c r="AH35" s="5"/>
      <c r="AI35" s="5"/>
      <c r="AJ35" s="5"/>
      <c r="AK35" s="5"/>
      <c r="AL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f>IFERROR(__xludf.DUMMYFUNCTION("""COMPUTED_VALUE"""),0.0)</f>
        <v>0</v>
      </c>
      <c r="AC36" s="5">
        <f>IFERROR(__xludf.DUMMYFUNCTION("""COMPUTED_VALUE"""),0.0)</f>
        <v>0</v>
      </c>
      <c r="AD36" s="5">
        <f>IFERROR(__xludf.DUMMYFUNCTION("""COMPUTED_VALUE"""),0.0)</f>
        <v>0</v>
      </c>
      <c r="AE36" s="5"/>
      <c r="AF36" s="5"/>
      <c r="AG36" s="5"/>
      <c r="AH36" s="5"/>
      <c r="AI36" s="5"/>
      <c r="AJ36" s="5"/>
      <c r="AK36" s="5"/>
      <c r="AL36" s="5"/>
    </row>
    <row r="37">
      <c r="A37" s="5"/>
      <c r="B37" s="5" t="str">
        <f>IFERROR(__xludf.DUMMYFUNCTION("""COMPUTED_VALUE"""),"Friday")</f>
        <v>Friday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f>IFERROR(__xludf.DUMMYFUNCTION("""COMPUTED_VALUE"""),0.0)</f>
        <v>0</v>
      </c>
      <c r="AC37" s="5">
        <f>IFERROR(__xludf.DUMMYFUNCTION("""COMPUTED_VALUE"""),0.0)</f>
        <v>0</v>
      </c>
      <c r="AD37" s="5">
        <f>IFERROR(__xludf.DUMMYFUNCTION("""COMPUTED_VALUE"""),0.0)</f>
        <v>0</v>
      </c>
      <c r="AE37" s="5"/>
      <c r="AF37" s="5"/>
      <c r="AG37" s="5"/>
      <c r="AH37" s="5"/>
      <c r="AI37" s="5"/>
      <c r="AJ37" s="5"/>
      <c r="AK37" s="5"/>
      <c r="AL37" s="5"/>
    </row>
    <row r="38">
      <c r="A38" s="5" t="str">
        <f>IFERROR(__xludf.DUMMYFUNCTION("""COMPUTED_VALUE"""),"yes")</f>
        <v>yes</v>
      </c>
      <c r="B38" s="5" t="str">
        <f>IFERROR(__xludf.DUMMYFUNCTION("""COMPUTED_VALUE"""),"VU")</f>
        <v>VU</v>
      </c>
      <c r="C38" s="5">
        <f>IFERROR(__xludf.DUMMYFUNCTION("""COMPUTED_VALUE"""),12.0)</f>
        <v>12</v>
      </c>
      <c r="D38" s="5" t="str">
        <f>IFERROR(__xludf.DUMMYFUNCTION("""COMPUTED_VALUE"""),"Fri 12:30-2:30 Amity Pickup Ages 6-9yo Adv Beginner")</f>
        <v>Fri 12:30-2:30 Amity Pickup Ages 6-9yo Adv Beginner</v>
      </c>
      <c r="E38" s="13">
        <f>IFERROR(__xludf.DUMMYFUNCTION("""COMPUTED_VALUE"""),45666.0)</f>
        <v>45666</v>
      </c>
      <c r="F38" s="13">
        <f>IFERROR(__xludf.DUMMYFUNCTION("""COMPUTED_VALUE"""),45743.0)</f>
        <v>45743</v>
      </c>
      <c r="G38" s="5">
        <f>IFERROR(__xludf.DUMMYFUNCTION("""COMPUTED_VALUE"""),11.0)</f>
        <v>11</v>
      </c>
      <c r="H38" s="15">
        <f>IFERROR(__xludf.DUMMYFUNCTION("""COMPUTED_VALUE"""),2.25)</f>
        <v>2.25</v>
      </c>
      <c r="I38" s="6">
        <f>IFERROR(__xludf.DUMMYFUNCTION("""COMPUTED_VALUE"""),45.0)</f>
        <v>45</v>
      </c>
      <c r="J38" s="5">
        <f>IFERROR(__xludf.DUMMYFUNCTION("""COMPUTED_VALUE"""),495.0)</f>
        <v>495</v>
      </c>
      <c r="K38" s="5">
        <f>IFERROR(__xludf.DUMMYFUNCTION("""COMPUTED_VALUE"""),550.0)</f>
        <v>550</v>
      </c>
      <c r="L38" s="5">
        <f>IFERROR(__xludf.DUMMYFUNCTION("""COMPUTED_VALUE"""),4.0)</f>
        <v>4</v>
      </c>
      <c r="M38" s="5">
        <f>IFERROR(__xludf.DUMMYFUNCTION("""COMPUTED_VALUE"""),7.0)</f>
        <v>7</v>
      </c>
      <c r="N38" s="5"/>
      <c r="O38" s="13">
        <f>IFERROR(__xludf.DUMMYFUNCTION("""COMPUTED_VALUE"""),45715.0)</f>
        <v>45715</v>
      </c>
      <c r="P38" s="5"/>
      <c r="Q38" s="5" t="str">
        <f>IFERROR(__xludf.DUMMYFUNCTION("""COMPUTED_VALUE"""),"Noah")</f>
        <v>Noah</v>
      </c>
      <c r="R38" s="5"/>
      <c r="S38" s="5"/>
      <c r="T38" s="5"/>
      <c r="U38" s="5"/>
      <c r="V38" s="5"/>
      <c r="W38" s="5">
        <f>IFERROR(__xludf.DUMMYFUNCTION("""COMPUTED_VALUE"""),100.0)</f>
        <v>100</v>
      </c>
      <c r="X38" s="5"/>
      <c r="Y38" s="5"/>
      <c r="Z38" s="5"/>
      <c r="AA38" s="5">
        <f>IFERROR(__xludf.DUMMYFUNCTION("""COMPUTED_VALUE"""),56.25)</f>
        <v>56.25</v>
      </c>
      <c r="AB38" s="5">
        <f>IFERROR(__xludf.DUMMYFUNCTION("""COMPUTED_VALUE"""),156.25)</f>
        <v>156.25</v>
      </c>
      <c r="AC38" s="5">
        <f>IFERROR(__xludf.DUMMYFUNCTION("""COMPUTED_VALUE"""),180.0)</f>
        <v>180</v>
      </c>
      <c r="AD38" s="5">
        <f>IFERROR(__xludf.DUMMYFUNCTION("""COMPUTED_VALUE"""),23.75)</f>
        <v>23.75</v>
      </c>
      <c r="AE38" s="5"/>
      <c r="AF38" s="5"/>
      <c r="AG38" s="5"/>
      <c r="AH38" s="5"/>
      <c r="AI38" s="5"/>
      <c r="AJ38" s="5"/>
      <c r="AK38" s="5"/>
      <c r="AL38" s="5"/>
    </row>
    <row r="39">
      <c r="A39" s="5"/>
      <c r="B39" s="5" t="str">
        <f>IFERROR(__xludf.DUMMYFUNCTION("""COMPUTED_VALUE"""),"VU")</f>
        <v>VU</v>
      </c>
      <c r="C39" s="5"/>
      <c r="D39" s="5" t="str">
        <f>IFERROR(__xludf.DUMMYFUNCTION("""COMPUTED_VALUE"""),"Friday 3:30/3:40-5:00 ages 5-7 pickup IFS ")</f>
        <v>Friday 3:30/3:40-5:00 ages 5-7 pickup IFS </v>
      </c>
      <c r="E39" s="5" t="str">
        <f>IFERROR(__xludf.DUMMYFUNCTION("""COMPUTED_VALUE"""),"Sept 5")</f>
        <v>Sept 5</v>
      </c>
      <c r="F39" s="14">
        <f>IFERROR(__xludf.DUMMYFUNCTION("""COMPUTED_VALUE"""),45834.0)</f>
        <v>45834</v>
      </c>
      <c r="G39" s="5">
        <f>IFERROR(__xludf.DUMMYFUNCTION("""COMPUTED_VALUE"""),31.0)</f>
        <v>31</v>
      </c>
      <c r="H39" s="15">
        <f>IFERROR(__xludf.DUMMYFUNCTION("""COMPUTED_VALUE"""),1.75)</f>
        <v>1.75</v>
      </c>
      <c r="I39" s="6">
        <f>IFERROR(__xludf.DUMMYFUNCTION("""COMPUTED_VALUE"""),41.0)</f>
        <v>41</v>
      </c>
      <c r="J39" s="5">
        <f>IFERROR(__xludf.DUMMYFUNCTION("""COMPUTED_VALUE"""),1080.0)</f>
        <v>1080</v>
      </c>
      <c r="K39" s="5"/>
      <c r="L39" s="5">
        <f>IFERROR(__xludf.DUMMYFUNCTION("""COMPUTED_VALUE"""),5.0)</f>
        <v>5</v>
      </c>
      <c r="M39" s="5">
        <f>IFERROR(__xludf.DUMMYFUNCTION("""COMPUTED_VALUE"""),5.0)</f>
        <v>5</v>
      </c>
      <c r="N39" s="5"/>
      <c r="O39" s="5" t="str">
        <f>IFERROR(__xludf.DUMMYFUNCTION("""COMPUTED_VALUE"""),"Oct ,24,31 Dec19,26 Jan 2 Feb 20,27, Apr 3,24 May 1, 15,22")</f>
        <v>Oct ,24,31 Dec19,26 Jan 2 Feb 20,27, Apr 3,24 May 1, 15,22</v>
      </c>
      <c r="P39" s="5"/>
      <c r="Q39" s="5" t="str">
        <f>IFERROR(__xludf.DUMMYFUNCTION("""COMPUTED_VALUE"""),"Noah")</f>
        <v>Noah</v>
      </c>
      <c r="R39" s="5"/>
      <c r="S39" s="5"/>
      <c r="T39" s="5"/>
      <c r="U39" s="5"/>
      <c r="V39" s="5"/>
      <c r="W39" s="5">
        <f>IFERROR(__xludf.DUMMYFUNCTION("""COMPUTED_VALUE"""),80.0)</f>
        <v>80</v>
      </c>
      <c r="X39" s="5"/>
      <c r="Y39" s="5"/>
      <c r="Z39" s="5"/>
      <c r="AA39" s="5">
        <f>IFERROR(__xludf.DUMMYFUNCTION("""COMPUTED_VALUE"""),56.25)</f>
        <v>56.25</v>
      </c>
      <c r="AB39" s="5">
        <f>IFERROR(__xludf.DUMMYFUNCTION("""COMPUTED_VALUE"""),136.25)</f>
        <v>136.25</v>
      </c>
      <c r="AC39" s="5">
        <f>IFERROR(__xludf.DUMMYFUNCTION("""COMPUTED_VALUE"""),205.0)</f>
        <v>205</v>
      </c>
      <c r="AD39" s="5">
        <f>IFERROR(__xludf.DUMMYFUNCTION("""COMPUTED_VALUE"""),68.75)</f>
        <v>68.75</v>
      </c>
      <c r="AE39" s="5"/>
      <c r="AF39" s="5"/>
      <c r="AG39" s="5"/>
      <c r="AH39" s="5"/>
      <c r="AI39" s="5"/>
      <c r="AJ39" s="5"/>
      <c r="AK39" s="5"/>
      <c r="AL39" s="5"/>
    </row>
    <row r="40">
      <c r="A40" s="5"/>
      <c r="B40" s="5" t="str">
        <f>IFERROR(__xludf.DUMMYFUNCTION("""COMPUTED_VALUE"""),"VU")</f>
        <v>VU</v>
      </c>
      <c r="C40" s="5"/>
      <c r="D40" s="5" t="str">
        <f>IFERROR(__xludf.DUMMYFUNCTION("""COMPUTED_VALUE"""),"Friday 3:30/3:40-5:30 ages 8-12 pickup IFS")</f>
        <v>Friday 3:30/3:40-5:30 ages 8-12 pickup IFS</v>
      </c>
      <c r="E40" s="5" t="str">
        <f>IFERROR(__xludf.DUMMYFUNCTION("""COMPUTED_VALUE"""),"Sept 5")</f>
        <v>Sept 5</v>
      </c>
      <c r="F40" s="13">
        <f>IFERROR(__xludf.DUMMYFUNCTION("""COMPUTED_VALUE"""),45834.0)</f>
        <v>45834</v>
      </c>
      <c r="G40" s="5">
        <f>IFERROR(__xludf.DUMMYFUNCTION("""COMPUTED_VALUE"""),31.0)</f>
        <v>31</v>
      </c>
      <c r="H40" s="15">
        <f>IFERROR(__xludf.DUMMYFUNCTION("""COMPUTED_VALUE"""),2.0)</f>
        <v>2</v>
      </c>
      <c r="I40" s="6">
        <f>IFERROR(__xludf.DUMMYFUNCTION("""COMPUTED_VALUE"""),45.0)</f>
        <v>45</v>
      </c>
      <c r="J40" s="6">
        <f>IFERROR(__xludf.DUMMYFUNCTION("""COMPUTED_VALUE"""),1185.75)</f>
        <v>1185.75</v>
      </c>
      <c r="K40" s="5"/>
      <c r="L40" s="5">
        <f>IFERROR(__xludf.DUMMYFUNCTION("""COMPUTED_VALUE"""),7.0)</f>
        <v>7</v>
      </c>
      <c r="M40" s="5">
        <f>IFERROR(__xludf.DUMMYFUNCTION("""COMPUTED_VALUE"""),7.0)</f>
        <v>7</v>
      </c>
      <c r="N40" s="5"/>
      <c r="O40" s="5" t="str">
        <f>IFERROR(__xludf.DUMMYFUNCTION("""COMPUTED_VALUE"""),"Oct ,24,31 Dec19,26 Jan 2 Feb 20,27, Apr 3,24 May 1, 15,22")</f>
        <v>Oct ,24,31 Dec19,26 Jan 2 Feb 20,27, Apr 3,24 May 1, 15,22</v>
      </c>
      <c r="P40" s="5"/>
      <c r="Q40" s="5" t="str">
        <f>IFERROR(__xludf.DUMMYFUNCTION("""COMPUTED_VALUE"""),"Yassine")</f>
        <v>Yassine</v>
      </c>
      <c r="R40" s="5"/>
      <c r="S40" s="5"/>
      <c r="T40" s="5"/>
      <c r="U40" s="5"/>
      <c r="V40" s="5"/>
      <c r="W40" s="5">
        <f>IFERROR(__xludf.DUMMYFUNCTION("""COMPUTED_VALUE"""),87.5)</f>
        <v>87.5</v>
      </c>
      <c r="X40" s="5"/>
      <c r="Y40" s="5"/>
      <c r="Z40" s="5"/>
      <c r="AA40" s="5">
        <f>IFERROR(__xludf.DUMMYFUNCTION("""COMPUTED_VALUE"""),0.0)</f>
        <v>0</v>
      </c>
      <c r="AB40" s="5">
        <f>IFERROR(__xludf.DUMMYFUNCTION("""COMPUTED_VALUE"""),87.5)</f>
        <v>87.5</v>
      </c>
      <c r="AC40" s="5">
        <f>IFERROR(__xludf.DUMMYFUNCTION("""COMPUTED_VALUE"""),315.0)</f>
        <v>315</v>
      </c>
      <c r="AD40" s="5">
        <f>IFERROR(__xludf.DUMMYFUNCTION("""COMPUTED_VALUE"""),227.5)</f>
        <v>227.5</v>
      </c>
      <c r="AE40" s="5"/>
      <c r="AF40" s="5"/>
      <c r="AG40" s="5"/>
      <c r="AH40" s="5"/>
      <c r="AI40" s="5"/>
      <c r="AJ40" s="5"/>
      <c r="AK40" s="5"/>
      <c r="AL40" s="5"/>
    </row>
    <row r="41">
      <c r="A41" s="5"/>
      <c r="B41" s="5" t="str">
        <f>IFERROR(__xludf.DUMMYFUNCTION("""COMPUTED_VALUE"""),"AICS On Campus at South")</f>
        <v>AICS On Campus at South</v>
      </c>
      <c r="C41" s="16">
        <f>IFERROR(__xludf.DUMMYFUNCTION("""COMPUTED_VALUE"""),0.125)</f>
        <v>0.125</v>
      </c>
      <c r="D41" s="5" t="str">
        <f>IFERROR(__xludf.DUMMYFUNCTION("""COMPUTED_VALUE"""),"Friday 3:15-4:30 Big Gym-unless school needs then outside/little gym")</f>
        <v>Friday 3:15-4:30 Big Gym-unless school needs then outside/little gym</v>
      </c>
      <c r="E41" s="5" t="str">
        <f>IFERROR(__xludf.DUMMYFUNCTION("""COMPUTED_VALUE"""),"Sept 26")</f>
        <v>Sept 26</v>
      </c>
      <c r="F41" s="13">
        <f>IFERROR(__xludf.DUMMYFUNCTION("""COMPUTED_VALUE"""),45701.0)</f>
        <v>45701</v>
      </c>
      <c r="G41" s="6">
        <f>IFERROR(__xludf.DUMMYFUNCTION("""COMPUTED_VALUE"""),16.0)</f>
        <v>16</v>
      </c>
      <c r="H41" s="15">
        <f>IFERROR(__xludf.DUMMYFUNCTION("""COMPUTED_VALUE"""),1.75)</f>
        <v>1.75</v>
      </c>
      <c r="I41" s="6" t="str">
        <f>IFERROR(__xludf.DUMMYFUNCTION("""COMPUTED_VALUE"""),"25.88 (incl 21% by the way)")</f>
        <v>25.88 (incl 21% by the way)</v>
      </c>
      <c r="J41" s="5">
        <f>IFERROR(__xludf.DUMMYFUNCTION("""COMPUTED_VALUE"""),440.0)</f>
        <v>440</v>
      </c>
      <c r="K41" s="5"/>
      <c r="L41" s="5"/>
      <c r="M41" s="5">
        <f>IFERROR(__xludf.DUMMYFUNCTION("""COMPUTED_VALUE"""),6.0)</f>
        <v>6</v>
      </c>
      <c r="N41" s="5"/>
      <c r="O41" s="5" t="str">
        <f>IFERROR(__xludf.DUMMYFUNCTION("""COMPUTED_VALUE"""),"Class Dates: 26-09, 03-10, 10-10, 17-10, 7-11, 14-11, 21-11, 28-11, 05-12, 12-12, 09-01, 16-01, 23-01, 30-01, 06-02, 13-02")</f>
        <v>Class Dates: 26-09, 03-10, 10-10, 17-10, 7-11, 14-11, 21-11, 28-11, 05-12, 12-12, 09-01, 16-01, 23-01, 30-01, 06-02, 13-02</v>
      </c>
      <c r="P41" s="5"/>
      <c r="Q41" s="5" t="str">
        <f>IFERROR(__xludf.DUMMYFUNCTION("""COMPUTED_VALUE"""),"Sofia")</f>
        <v>Sofia</v>
      </c>
      <c r="R41" s="5" t="str">
        <f>IFERROR(__xludf.DUMMYFUNCTION("""COMPUTED_VALUE"""),"Olha")</f>
        <v>Olha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>
      <c r="A43" s="5" t="str">
        <f>IFERROR(__xludf.DUMMYFUNCTION("""COMPUTED_VALUE"""),"yes")</f>
        <v>yes</v>
      </c>
      <c r="B43" s="5" t="str">
        <f>IFERROR(__xludf.DUMMYFUNCTION("""COMPUTED_VALUE"""),"VU")</f>
        <v>VU</v>
      </c>
      <c r="C43" s="5"/>
      <c r="D43" s="5" t="str">
        <f>IFERROR(__xludf.DUMMYFUNCTION("""COMPUTED_VALUE"""),"Friday 4-5:30 Ages 7-13 23 ")</f>
        <v>Friday 4-5:30 Ages 7-13 23 </v>
      </c>
      <c r="E43" s="13">
        <f>IFERROR(__xludf.DUMMYFUNCTION("""COMPUTED_VALUE"""),45666.0)</f>
        <v>45666</v>
      </c>
      <c r="F43" s="13">
        <f>IFERROR(__xludf.DUMMYFUNCTION("""COMPUTED_VALUE"""),45743.0)</f>
        <v>45743</v>
      </c>
      <c r="G43" s="5">
        <f>IFERROR(__xludf.DUMMYFUNCTION("""COMPUTED_VALUE"""),11.0)</f>
        <v>11</v>
      </c>
      <c r="H43" s="15">
        <f>IFERROR(__xludf.DUMMYFUNCTION("""COMPUTED_VALUE"""),1.5)</f>
        <v>1.5</v>
      </c>
      <c r="I43" s="6">
        <f>IFERROR(__xludf.DUMMYFUNCTION("""COMPUTED_VALUE"""),34.0)</f>
        <v>34</v>
      </c>
      <c r="J43" s="5">
        <f>IFERROR(__xludf.DUMMYFUNCTION("""COMPUTED_VALUE"""),374.0)</f>
        <v>374</v>
      </c>
      <c r="K43" s="5"/>
      <c r="L43" s="5">
        <f>IFERROR(__xludf.DUMMYFUNCTION("""COMPUTED_VALUE"""),1.0)</f>
        <v>1</v>
      </c>
      <c r="M43" s="5">
        <f>IFERROR(__xludf.DUMMYFUNCTION("""COMPUTED_VALUE"""),1.0)</f>
        <v>1</v>
      </c>
      <c r="N43" s="5"/>
      <c r="O43" s="13">
        <f>IFERROR(__xludf.DUMMYFUNCTION("""COMPUTED_VALUE"""),45715.0)</f>
        <v>45715</v>
      </c>
      <c r="P43" s="5"/>
      <c r="Q43" s="5" t="str">
        <f>IFERROR(__xludf.DUMMYFUNCTION("""COMPUTED_VALUE"""),"Ivan")</f>
        <v>Ivan</v>
      </c>
      <c r="R43" s="5"/>
      <c r="S43" s="5"/>
      <c r="T43" s="5"/>
      <c r="U43" s="5"/>
      <c r="V43" s="5"/>
      <c r="W43" s="5"/>
      <c r="X43" s="5"/>
      <c r="Y43" s="5"/>
      <c r="Z43" s="5"/>
      <c r="AA43" s="5">
        <f>IFERROR(__xludf.DUMMYFUNCTION("""COMPUTED_VALUE"""),0.0)</f>
        <v>0</v>
      </c>
      <c r="AB43" s="5">
        <f>IFERROR(__xludf.DUMMYFUNCTION("""COMPUTED_VALUE"""),0.0)</f>
        <v>0</v>
      </c>
      <c r="AC43" s="5">
        <f>IFERROR(__xludf.DUMMYFUNCTION("""COMPUTED_VALUE"""),34.0)</f>
        <v>34</v>
      </c>
      <c r="AD43" s="5">
        <f>IFERROR(__xludf.DUMMYFUNCTION("""COMPUTED_VALUE"""),34.0)</f>
        <v>34</v>
      </c>
      <c r="AE43" s="5"/>
      <c r="AF43" s="5"/>
      <c r="AG43" s="5"/>
      <c r="AH43" s="5"/>
      <c r="AI43" s="5"/>
      <c r="AJ43" s="5"/>
      <c r="AK43" s="5"/>
      <c r="AL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f>IFERROR(__xludf.DUMMYFUNCTION("""COMPUTED_VALUE"""),0.0)</f>
        <v>0</v>
      </c>
      <c r="AD44" s="5"/>
      <c r="AE44" s="5"/>
      <c r="AF44" s="5"/>
      <c r="AG44" s="5"/>
      <c r="AH44" s="5"/>
      <c r="AI44" s="5"/>
      <c r="AJ44" s="5"/>
      <c r="AK44" s="5"/>
      <c r="AL44" s="5"/>
    </row>
    <row r="45">
      <c r="A45" s="5"/>
      <c r="B45" s="5" t="str">
        <f>IFERROR(__xludf.DUMMYFUNCTION("""COMPUTED_VALUE"""),"Sunday")</f>
        <v>Sunday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f>IFERROR(__xludf.DUMMYFUNCTION("""COMPUTED_VALUE"""),0.0)</f>
        <v>0</v>
      </c>
      <c r="AD45" s="5"/>
      <c r="AE45" s="5"/>
      <c r="AF45" s="5"/>
      <c r="AG45" s="5"/>
      <c r="AH45" s="5"/>
      <c r="AI45" s="5"/>
      <c r="AJ45" s="5"/>
      <c r="AK45" s="5"/>
      <c r="AL45" s="5"/>
    </row>
    <row r="46">
      <c r="A46" s="5" t="str">
        <f>IFERROR(__xludf.DUMMYFUNCTION("""COMPUTED_VALUE"""),"yes")</f>
        <v>yes</v>
      </c>
      <c r="B46" s="5" t="str">
        <f>IFERROR(__xludf.DUMMYFUNCTION("""COMPUTED_VALUE"""),"AJErnstraat")</f>
        <v>AJErnstraat</v>
      </c>
      <c r="C46" s="5"/>
      <c r="D46" s="5" t="str">
        <f>IFERROR(__xludf.DUMMYFUNCTION("""COMPUTED_VALUE"""),"Sunday 9:45-10:30 Ages 4-6 23")</f>
        <v>Sunday 9:45-10:30 Ages 4-6 23</v>
      </c>
      <c r="E46" s="13">
        <f>IFERROR(__xludf.DUMMYFUNCTION("""COMPUTED_VALUE"""),45668.0)</f>
        <v>45668</v>
      </c>
      <c r="F46" s="13">
        <f>IFERROR(__xludf.DUMMYFUNCTION("""COMPUTED_VALUE"""),45745.0)</f>
        <v>45745</v>
      </c>
      <c r="G46" s="5">
        <f>IFERROR(__xludf.DUMMYFUNCTION("""COMPUTED_VALUE"""),10.0)</f>
        <v>10</v>
      </c>
      <c r="H46" s="15">
        <f>IFERROR(__xludf.DUMMYFUNCTION("""COMPUTED_VALUE"""),0.75)</f>
        <v>0.75</v>
      </c>
      <c r="I46" s="6">
        <f>IFERROR(__xludf.DUMMYFUNCTION("""COMPUTED_VALUE"""),19.0)</f>
        <v>19</v>
      </c>
      <c r="J46" s="5">
        <f>IFERROR(__xludf.DUMMYFUNCTION("""COMPUTED_VALUE"""),190.0)</f>
        <v>190</v>
      </c>
      <c r="K46" s="5"/>
      <c r="L46" s="5">
        <f>IFERROR(__xludf.DUMMYFUNCTION("""COMPUTED_VALUE"""),12.0)</f>
        <v>12</v>
      </c>
      <c r="M46" s="5">
        <f>IFERROR(__xludf.DUMMYFUNCTION("""COMPUTED_VALUE"""),12.0)</f>
        <v>12</v>
      </c>
      <c r="N46" s="5"/>
      <c r="O46" s="5" t="str">
        <f>IFERROR(__xludf.DUMMYFUNCTION("""COMPUTED_VALUE"""),"Feb 22/March 1")</f>
        <v>Feb 22/March 1</v>
      </c>
      <c r="P46" s="5"/>
      <c r="Q46" s="5" t="str">
        <f>IFERROR(__xludf.DUMMYFUNCTION("""COMPUTED_VALUE"""),"Ramzi")</f>
        <v>Ramzi</v>
      </c>
      <c r="R46" s="5" t="str">
        <f>IFERROR(__xludf.DUMMYFUNCTION("""COMPUTED_VALUE"""),"Set")</f>
        <v>Set</v>
      </c>
      <c r="S46" s="5"/>
      <c r="T46" s="5"/>
      <c r="U46" s="5"/>
      <c r="V46" s="5"/>
      <c r="W46" s="5">
        <f>IFERROR(__xludf.DUMMYFUNCTION("""COMPUTED_VALUE"""),39.75)</f>
        <v>39.75</v>
      </c>
      <c r="X46" s="5">
        <f>IFERROR(__xludf.DUMMYFUNCTION("""COMPUTED_VALUE"""),30.0)</f>
        <v>30</v>
      </c>
      <c r="Y46" s="5"/>
      <c r="Z46" s="5"/>
      <c r="AA46" s="5">
        <f>IFERROR(__xludf.DUMMYFUNCTION("""COMPUTED_VALUE"""),46.0)</f>
        <v>46</v>
      </c>
      <c r="AB46" s="5">
        <f>IFERROR(__xludf.DUMMYFUNCTION("""COMPUTED_VALUE"""),115.75)</f>
        <v>115.75</v>
      </c>
      <c r="AC46" s="5">
        <f>IFERROR(__xludf.DUMMYFUNCTION("""COMPUTED_VALUE"""),228.0)</f>
        <v>228</v>
      </c>
      <c r="AD46" s="5">
        <f>IFERROR(__xludf.DUMMYFUNCTION("""COMPUTED_VALUE"""),112.25)</f>
        <v>112.25</v>
      </c>
      <c r="AE46" s="5"/>
      <c r="AF46" s="5"/>
      <c r="AG46" s="5"/>
      <c r="AH46" s="5"/>
      <c r="AI46" s="5"/>
      <c r="AJ46" s="5"/>
      <c r="AK46" s="5"/>
      <c r="AL46" s="5"/>
    </row>
    <row r="47">
      <c r="A47" s="5" t="str">
        <f>IFERROR(__xludf.DUMMYFUNCTION("""COMPUTED_VALUE"""),"yes")</f>
        <v>yes</v>
      </c>
      <c r="B47" s="5" t="str">
        <f>IFERROR(__xludf.DUMMYFUNCTION("""COMPUTED_VALUE"""),"AJErnstraat")</f>
        <v>AJErnstraat</v>
      </c>
      <c r="C47" s="5"/>
      <c r="D47" s="5" t="str">
        <f>IFERROR(__xludf.DUMMYFUNCTION("""COMPUTED_VALUE"""),"Sunday 10:30-12 Ages 7-13  Beginner to High Performance divided by level")</f>
        <v>Sunday 10:30-12 Ages 7-13  Beginner to High Performance divided by level</v>
      </c>
      <c r="E47" s="13">
        <f>IFERROR(__xludf.DUMMYFUNCTION("""COMPUTED_VALUE"""),45668.0)</f>
        <v>45668</v>
      </c>
      <c r="F47" s="13">
        <f>IFERROR(__xludf.DUMMYFUNCTION("""COMPUTED_VALUE"""),45745.0)</f>
        <v>45745</v>
      </c>
      <c r="G47" s="5">
        <f>IFERROR(__xludf.DUMMYFUNCTION("""COMPUTED_VALUE"""),10.0)</f>
        <v>10</v>
      </c>
      <c r="H47" s="15">
        <f>IFERROR(__xludf.DUMMYFUNCTION("""COMPUTED_VALUE"""),1.5)</f>
        <v>1.5</v>
      </c>
      <c r="I47" s="6">
        <f>IFERROR(__xludf.DUMMYFUNCTION("""COMPUTED_VALUE"""),34.0)</f>
        <v>34</v>
      </c>
      <c r="J47" s="5">
        <f>IFERROR(__xludf.DUMMYFUNCTION("""COMPUTED_VALUE"""),340.0)</f>
        <v>340</v>
      </c>
      <c r="K47" s="5"/>
      <c r="L47" s="5">
        <f>IFERROR(__xludf.DUMMYFUNCTION("""COMPUTED_VALUE"""),14.0)</f>
        <v>14</v>
      </c>
      <c r="M47" s="5">
        <f>IFERROR(__xludf.DUMMYFUNCTION("""COMPUTED_VALUE"""),14.0)</f>
        <v>14</v>
      </c>
      <c r="N47" s="5"/>
      <c r="O47" s="5" t="str">
        <f>IFERROR(__xludf.DUMMYFUNCTION("""COMPUTED_VALUE"""),"Feb 22/March 1")</f>
        <v>Feb 22/March 1</v>
      </c>
      <c r="P47" s="5"/>
      <c r="Q47" s="5" t="str">
        <f>IFERROR(__xludf.DUMMYFUNCTION("""COMPUTED_VALUE"""),"Ramzi")</f>
        <v>Ramzi</v>
      </c>
      <c r="R47" s="5" t="str">
        <f>IFERROR(__xludf.DUMMYFUNCTION("""COMPUTED_VALUE"""),"Set")</f>
        <v>Set</v>
      </c>
      <c r="S47" s="5" t="str">
        <f>IFERROR(__xludf.DUMMYFUNCTION("""COMPUTED_VALUE"""),"Ivan")</f>
        <v>Ivan</v>
      </c>
      <c r="T47" s="5"/>
      <c r="U47" s="5"/>
      <c r="V47" s="5"/>
      <c r="W47" s="5">
        <f>IFERROR(__xludf.DUMMYFUNCTION("""COMPUTED_VALUE"""),79.5)</f>
        <v>79.5</v>
      </c>
      <c r="X47" s="5">
        <f>IFERROR(__xludf.DUMMYFUNCTION("""COMPUTED_VALUE"""),60.0)</f>
        <v>60</v>
      </c>
      <c r="Y47" s="5">
        <f>IFERROR(__xludf.DUMMYFUNCTION("""COMPUTED_VALUE"""),75.0)</f>
        <v>75</v>
      </c>
      <c r="Z47" s="5"/>
      <c r="AA47" s="5">
        <f>IFERROR(__xludf.DUMMYFUNCTION("""COMPUTED_VALUE"""),69.0)</f>
        <v>69</v>
      </c>
      <c r="AB47" s="5">
        <f>IFERROR(__xludf.DUMMYFUNCTION("""COMPUTED_VALUE"""),283.5)</f>
        <v>283.5</v>
      </c>
      <c r="AC47" s="5">
        <f>IFERROR(__xludf.DUMMYFUNCTION("""COMPUTED_VALUE"""),476.0)</f>
        <v>476</v>
      </c>
      <c r="AD47" s="5">
        <f>IFERROR(__xludf.DUMMYFUNCTION("""COMPUTED_VALUE"""),192.5)</f>
        <v>192.5</v>
      </c>
      <c r="AE47" s="5"/>
      <c r="AF47" s="5"/>
      <c r="AG47" s="5"/>
      <c r="AH47" s="5"/>
      <c r="AI47" s="5"/>
      <c r="AJ47" s="5"/>
      <c r="AK47" s="5"/>
      <c r="AL47" s="5"/>
    </row>
    <row r="48">
      <c r="A48" s="5" t="str">
        <f>IFERROR(__xludf.DUMMYFUNCTION("""COMPUTED_VALUE"""),"yes")</f>
        <v>yes</v>
      </c>
      <c r="B48" s="5" t="str">
        <f>IFERROR(__xludf.DUMMYFUNCTION("""COMPUTED_VALUE"""),"AJErnstraat")</f>
        <v>AJErnstraat</v>
      </c>
      <c r="C48" s="5" t="str">
        <f>IFERROR(__xludf.DUMMYFUNCTION("""COMPUTED_VALUE"""),"cancelled")</f>
        <v>cancelled</v>
      </c>
      <c r="D48" s="5" t="str">
        <f>IFERROR(__xludf.DUMMYFUNCTION("""COMPUTED_VALUE"""),"Sunday 12-1:30 Ages 8-13 High Performance")</f>
        <v>Sunday 12-1:30 Ages 8-13 High Performance</v>
      </c>
      <c r="E48" s="13">
        <f>IFERROR(__xludf.DUMMYFUNCTION("""COMPUTED_VALUE"""),46040.0)</f>
        <v>46040</v>
      </c>
      <c r="F48" s="13">
        <f>IFERROR(__xludf.DUMMYFUNCTION("""COMPUTED_VALUE"""),45745.0)</f>
        <v>45745</v>
      </c>
      <c r="G48" s="5">
        <f>IFERROR(__xludf.DUMMYFUNCTION("""COMPUTED_VALUE"""),9.0)</f>
        <v>9</v>
      </c>
      <c r="H48" s="15">
        <f>IFERROR(__xludf.DUMMYFUNCTION("""COMPUTED_VALUE"""),1.5)</f>
        <v>1.5</v>
      </c>
      <c r="I48" s="6">
        <f>IFERROR(__xludf.DUMMYFUNCTION("""COMPUTED_VALUE"""),34.0)</f>
        <v>34</v>
      </c>
      <c r="J48" s="5">
        <f>IFERROR(__xludf.DUMMYFUNCTION("""COMPUTED_VALUE"""),306.0)</f>
        <v>306</v>
      </c>
      <c r="K48" s="5"/>
      <c r="L48" s="5">
        <f>IFERROR(__xludf.DUMMYFUNCTION("""COMPUTED_VALUE"""),1.0)</f>
        <v>1</v>
      </c>
      <c r="M48" s="5">
        <f>IFERROR(__xludf.DUMMYFUNCTION("""COMPUTED_VALUE"""),6.0)</f>
        <v>6</v>
      </c>
      <c r="N48" s="5"/>
      <c r="O48" s="5" t="str">
        <f>IFERROR(__xludf.DUMMYFUNCTION("""COMPUTED_VALUE"""),"Feb 22/March 1")</f>
        <v>Feb 22/March 1</v>
      </c>
      <c r="P48" s="5"/>
      <c r="Q48" s="5" t="str">
        <f>IFERROR(__xludf.DUMMYFUNCTION("""COMPUTED_VALUE"""),"Ramzi")</f>
        <v>Ramzi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f>IFERROR(__xludf.DUMMYFUNCTION("""COMPUTED_VALUE"""),0.0)</f>
        <v>0</v>
      </c>
      <c r="AC48" s="5">
        <f>IFERROR(__xludf.DUMMYFUNCTION("""COMPUTED_VALUE"""),34.0)</f>
        <v>34</v>
      </c>
      <c r="AD48" s="5">
        <f>IFERROR(__xludf.DUMMYFUNCTION("""COMPUTED_VALUE"""),34.0)</f>
        <v>34</v>
      </c>
      <c r="AE48" s="5"/>
      <c r="AF48" s="5"/>
      <c r="AG48" s="5"/>
      <c r="AH48" s="5"/>
      <c r="AI48" s="5"/>
      <c r="AJ48" s="5"/>
      <c r="AK48" s="5"/>
      <c r="AL48" s="5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>
        <f>IFERROR(__xludf.DUMMYFUNCTION("""COMPUTED_VALUE"""),1969.25)</f>
        <v>1969.25</v>
      </c>
      <c r="AC49" s="17">
        <f>IFERROR(__xludf.DUMMYFUNCTION("""COMPUTED_VALUE"""),3408.0)</f>
        <v>3408</v>
      </c>
      <c r="AD49" s="17">
        <f>IFERROR(__xludf.DUMMYFUNCTION("""COMPUTED_VALUE"""),1438.75)</f>
        <v>1438.75</v>
      </c>
      <c r="AE49" s="17" t="str">
        <f>IFERROR(__xludf.DUMMYFUNCTION("""COMPUTED_VALUE"""),"x approximately 11 weeks")</f>
        <v>x approximately 11 weeks</v>
      </c>
      <c r="AF49" s="17"/>
      <c r="AG49" s="17"/>
      <c r="AH49" s="17"/>
      <c r="AI49" s="17"/>
      <c r="AJ49" s="17"/>
      <c r="AK49" s="17"/>
      <c r="AL49" s="17"/>
      <c r="AM49" s="17"/>
      <c r="AN49" s="17"/>
      <c r="AO49" s="17"/>
    </row>
    <row r="50">
      <c r="A50" s="5"/>
      <c r="B50" s="5" t="str">
        <f>IFERROR(__xludf.DUMMYFUNCTION("""COMPUTED_VALUE"""),"SPRING 2026")</f>
        <v>SPRING 2026</v>
      </c>
      <c r="C50" s="5"/>
      <c r="D50" s="5" t="str">
        <f>IFERROR(__xludf.DUMMYFUNCTION("""COMPUTED_VALUE"""),"April 1-July 3-BSA,IFS,AMITY have alternative end dates")</f>
        <v>April 1-July 3-BSA,IFS,AMITY have alternative end dates</v>
      </c>
      <c r="E50" s="5"/>
      <c r="F50" s="5" t="str">
        <f>IFERROR(__xludf.DUMMYFUNCTION("""COMPUTED_VALUE"""),"April 5-6, April 25-May 3, May 14, May 24-25 Amity April 1-19, IFS April 18-May 3")</f>
        <v>April 5-6, April 25-May 3, May 14, May 24-25 Amity April 1-19, IFS April 18-May 3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>
      <c r="A52" s="5" t="str">
        <f>IFERROR(__xludf.DUMMYFUNCTION("""COMPUTED_VALUE"""),"yes")</f>
        <v>yes</v>
      </c>
      <c r="B52" s="5" t="str">
        <f>IFERROR(__xludf.DUMMYFUNCTION("""COMPUTED_VALUE"""),"Triaz")</f>
        <v>Triaz</v>
      </c>
      <c r="C52" s="5"/>
      <c r="D52" s="5" t="str">
        <f>IFERROR(__xludf.DUMMYFUNCTION("""COMPUTED_VALUE"""),"Monday 4:30-6:00 High Performance Ages 9-14")</f>
        <v>Monday 4:30-6:00 High Performance Ages 9-14</v>
      </c>
      <c r="E52" s="13">
        <f>IFERROR(__xludf.DUMMYFUNCTION("""COMPUTED_VALUE"""),46125.0)</f>
        <v>46125</v>
      </c>
      <c r="F52" s="14">
        <f>IFERROR(__xludf.DUMMYFUNCTION("""COMPUTED_VALUE"""),46202.0)</f>
        <v>46202</v>
      </c>
      <c r="G52" s="5">
        <f>IFERROR(__xludf.DUMMYFUNCTION("""COMPUTED_VALUE"""),10.0)</f>
        <v>10</v>
      </c>
      <c r="H52" s="15">
        <f>IFERROR(__xludf.DUMMYFUNCTION("""COMPUTED_VALUE"""),1.5)</f>
        <v>1.5</v>
      </c>
      <c r="I52" s="6">
        <f>IFERROR(__xludf.DUMMYFUNCTION("""COMPUTED_VALUE"""),36.0)</f>
        <v>36</v>
      </c>
      <c r="J52" s="5">
        <f>IFERROR(__xludf.DUMMYFUNCTION("""COMPUTED_VALUE"""),360.0)</f>
        <v>360</v>
      </c>
      <c r="K52" s="5"/>
      <c r="L52" s="5"/>
      <c r="M52" s="5">
        <f>IFERROR(__xludf.DUMMYFUNCTION("""COMPUTED_VALUE"""),12.0)</f>
        <v>12</v>
      </c>
      <c r="N52" s="5"/>
      <c r="O52" s="5" t="str">
        <f>IFERROR(__xludf.DUMMYFUNCTION("""COMPUTED_VALUE"""),"Apr 6. Apr 27. May 25")</f>
        <v>Apr 6. Apr 27. May 25</v>
      </c>
      <c r="P52" s="5"/>
      <c r="Q52" s="5" t="str">
        <f>IFERROR(__xludf.DUMMYFUNCTION("""COMPUTED_VALUE"""),"Ramzi")</f>
        <v>Ramzi</v>
      </c>
      <c r="R52" s="5"/>
      <c r="S52" s="5"/>
      <c r="T52" s="5"/>
      <c r="U52" s="5"/>
      <c r="V52" s="5"/>
      <c r="W52" s="5">
        <f>IFERROR(__xludf.DUMMYFUNCTION("""COMPUTED_VALUE"""),79.5)</f>
        <v>79.5</v>
      </c>
      <c r="X52" s="5">
        <f>IFERROR(__xludf.DUMMYFUNCTION("""COMPUTED_VALUE"""),0.0)</f>
        <v>0</v>
      </c>
      <c r="Y52" s="5"/>
      <c r="Z52" s="5"/>
      <c r="AA52" s="5">
        <f>IFERROR(__xludf.DUMMYFUNCTION("""COMPUTED_VALUE"""),36.0)</f>
        <v>36</v>
      </c>
      <c r="AB52" s="5">
        <f>IFERROR(__xludf.DUMMYFUNCTION("""COMPUTED_VALUE"""),115.5)</f>
        <v>115.5</v>
      </c>
      <c r="AC52" s="5">
        <f>IFERROR(__xludf.DUMMYFUNCTION("""COMPUTED_VALUE"""),0.0)</f>
        <v>0</v>
      </c>
      <c r="AD52" s="5">
        <f>IFERROR(__xludf.DUMMYFUNCTION("""COMPUTED_VALUE"""),-115.5)</f>
        <v>-115.5</v>
      </c>
      <c r="AE52" s="5"/>
      <c r="AF52" s="5"/>
      <c r="AG52" s="5"/>
      <c r="AH52" s="5"/>
      <c r="AI52" s="5"/>
      <c r="AJ52" s="5"/>
      <c r="AK52" s="5"/>
      <c r="AL52" s="5"/>
    </row>
    <row r="53">
      <c r="A53" s="5" t="str">
        <f>IFERROR(__xludf.DUMMYFUNCTION("""COMPUTED_VALUE"""),"yes")</f>
        <v>yes</v>
      </c>
      <c r="B53" s="5" t="str">
        <f>IFERROR(__xludf.DUMMYFUNCTION("""COMPUTED_VALUE"""),"Triaz")</f>
        <v>Triaz</v>
      </c>
      <c r="C53" s="5"/>
      <c r="D53" s="5" t="str">
        <f>IFERROR(__xludf.DUMMYFUNCTION("""COMPUTED_VALUE"""),"Monday 3:15-5:15 ages 8-12 pickup BSA")</f>
        <v>Monday 3:15-5:15 ages 8-12 pickup BSA</v>
      </c>
      <c r="E53" s="13">
        <f>IFERROR(__xludf.DUMMYFUNCTION("""COMPUTED_VALUE"""),46132.0)</f>
        <v>46132</v>
      </c>
      <c r="F53" s="13">
        <f>IFERROR(__xludf.DUMMYFUNCTION("""COMPUTED_VALUE"""),46202.0)</f>
        <v>46202</v>
      </c>
      <c r="G53" s="5">
        <f>IFERROR(__xludf.DUMMYFUNCTION("""COMPUTED_VALUE"""),9.0)</f>
        <v>9</v>
      </c>
      <c r="H53" s="15">
        <f>IFERROR(__xludf.DUMMYFUNCTION("""COMPUTED_VALUE"""),2.0)</f>
        <v>2</v>
      </c>
      <c r="I53" s="6">
        <f>IFERROR(__xludf.DUMMYFUNCTION("""COMPUTED_VALUE"""),47.0)</f>
        <v>47</v>
      </c>
      <c r="J53" s="5">
        <f>IFERROR(__xludf.DUMMYFUNCTION("""COMPUTED_VALUE"""),423.0)</f>
        <v>423</v>
      </c>
      <c r="K53" s="5"/>
      <c r="L53" s="5"/>
      <c r="M53" s="5">
        <f>IFERROR(__xludf.DUMMYFUNCTION("""COMPUTED_VALUE"""),6.0)</f>
        <v>6</v>
      </c>
      <c r="N53" s="5"/>
      <c r="O53" s="5" t="str">
        <f>IFERROR(__xludf.DUMMYFUNCTION("""COMPUTED_VALUE"""),"Apr 6. Apr 27. May 25")</f>
        <v>Apr 6. Apr 27. May 25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>
      <c r="A54" s="5" t="str">
        <f>IFERROR(__xludf.DUMMYFUNCTION("""COMPUTED_VALUE"""),"yes")</f>
        <v>yes</v>
      </c>
      <c r="B54" s="5" t="str">
        <f>IFERROR(__xludf.DUMMYFUNCTION("""COMPUTED_VALUE"""),"Triaz")</f>
        <v>Triaz</v>
      </c>
      <c r="C54" s="16">
        <f>IFERROR(__xludf.DUMMYFUNCTION("""COMPUTED_VALUE"""),0.11458333333333333)</f>
        <v>0.1145833333</v>
      </c>
      <c r="D54" s="5" t="str">
        <f>IFERROR(__xludf.DUMMYFUNCTION("""COMPUTED_VALUE"""),"Monday 3:15-4:45 ages 5-8 pickup BSA")</f>
        <v>Monday 3:15-4:45 ages 5-8 pickup BSA</v>
      </c>
      <c r="E54" s="13">
        <f>IFERROR(__xludf.DUMMYFUNCTION("""COMPUTED_VALUE"""),46132.0)</f>
        <v>46132</v>
      </c>
      <c r="F54" s="13">
        <f>IFERROR(__xludf.DUMMYFUNCTION("""COMPUTED_VALUE"""),46202.0)</f>
        <v>46202</v>
      </c>
      <c r="G54" s="5">
        <f>IFERROR(__xludf.DUMMYFUNCTION("""COMPUTED_VALUE"""),9.0)</f>
        <v>9</v>
      </c>
      <c r="H54" s="15">
        <f>IFERROR(__xludf.DUMMYFUNCTION("""COMPUTED_VALUE"""),1.5)</f>
        <v>1.5</v>
      </c>
      <c r="I54" s="6">
        <f>IFERROR(__xludf.DUMMYFUNCTION("""COMPUTED_VALUE"""),39.0)</f>
        <v>39</v>
      </c>
      <c r="J54" s="5">
        <f>IFERROR(__xludf.DUMMYFUNCTION("""COMPUTED_VALUE"""),351.0)</f>
        <v>351</v>
      </c>
      <c r="K54" s="5"/>
      <c r="L54" s="5"/>
      <c r="M54" s="5">
        <f>IFERROR(__xludf.DUMMYFUNCTION("""COMPUTED_VALUE"""),11.0)</f>
        <v>11</v>
      </c>
      <c r="N54" s="5"/>
      <c r="O54" s="5" t="str">
        <f>IFERROR(__xludf.DUMMYFUNCTION("""COMPUTED_VALUE"""),"Apr 6. Apr 27. May 25")</f>
        <v>Apr 6. Apr 27. May 25</v>
      </c>
      <c r="P54" s="5"/>
      <c r="Q54" s="5" t="str">
        <f>IFERROR(__xludf.DUMMYFUNCTION("""COMPUTED_VALUE"""),"Giorgio")</f>
        <v>Giorgio</v>
      </c>
      <c r="R54" s="5"/>
      <c r="S54" s="5"/>
      <c r="T54" s="5"/>
      <c r="U54" s="5"/>
      <c r="V54" s="5"/>
      <c r="W54" s="5">
        <f>IFERROR(__xludf.DUMMYFUNCTION("""COMPUTED_VALUE"""),60.0)</f>
        <v>60</v>
      </c>
      <c r="X54" s="5">
        <f>IFERROR(__xludf.DUMMYFUNCTION("""COMPUTED_VALUE"""),60.0)</f>
        <v>60</v>
      </c>
      <c r="Y54" s="5"/>
      <c r="Z54" s="5"/>
      <c r="AA54" s="5">
        <f>IFERROR(__xludf.DUMMYFUNCTION("""COMPUTED_VALUE"""),36.0)</f>
        <v>36</v>
      </c>
      <c r="AB54" s="5">
        <f>IFERROR(__xludf.DUMMYFUNCTION("""COMPUTED_VALUE"""),156.0)</f>
        <v>156</v>
      </c>
      <c r="AC54" s="5">
        <f>IFERROR(__xludf.DUMMYFUNCTION("""COMPUTED_VALUE"""),0.0)</f>
        <v>0</v>
      </c>
      <c r="AD54" s="5">
        <f>IFERROR(__xludf.DUMMYFUNCTION("""COMPUTED_VALUE"""),-156.0)</f>
        <v>-156</v>
      </c>
      <c r="AE54" s="5"/>
      <c r="AF54" s="5"/>
      <c r="AG54" s="5"/>
      <c r="AH54" s="5"/>
      <c r="AI54" s="5"/>
      <c r="AJ54" s="5"/>
      <c r="AK54" s="5"/>
      <c r="AL54" s="5"/>
    </row>
    <row r="55">
      <c r="A55" s="5"/>
      <c r="B55" s="5" t="str">
        <f>IFERROR(__xludf.DUMMYFUNCTION("""COMPUTED_VALUE"""),"Tuesday")</f>
        <v>Tuesday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>
        <f>IFERROR(__xludf.DUMMYFUNCTION("""COMPUTED_VALUE"""),0.0)</f>
        <v>0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>
      <c r="A56" s="5" t="str">
        <f>IFERROR(__xludf.DUMMYFUNCTION("""COMPUTED_VALUE"""),"yes")</f>
        <v>yes</v>
      </c>
      <c r="B56" s="5" t="str">
        <f>IFERROR(__xludf.DUMMYFUNCTION("""COMPUTED_VALUE"""),"Triaz")</f>
        <v>Triaz</v>
      </c>
      <c r="C56" s="16">
        <f>IFERROR(__xludf.DUMMYFUNCTION("""COMPUTED_VALUE"""),0.125)</f>
        <v>0.125</v>
      </c>
      <c r="D56" s="5" t="str">
        <f>IFERROR(__xludf.DUMMYFUNCTION("""COMPUTED_VALUE"""),"Tuesday 3:15-5:30 High Performance AICS Pickup Ages 8-12")</f>
        <v>Tuesday 3:15-5:30 High Performance AICS Pickup Ages 8-12</v>
      </c>
      <c r="E56" s="13">
        <f>IFERROR(__xludf.DUMMYFUNCTION("""COMPUTED_VALUE"""),46126.0)</f>
        <v>46126</v>
      </c>
      <c r="F56" s="14">
        <f>IFERROR(__xludf.DUMMYFUNCTION("""COMPUTED_VALUE"""),46203.0)</f>
        <v>46203</v>
      </c>
      <c r="G56" s="5">
        <f>IFERROR(__xludf.DUMMYFUNCTION("""COMPUTED_VALUE"""),10.0)</f>
        <v>10</v>
      </c>
      <c r="H56" s="15">
        <f>IFERROR(__xludf.DUMMYFUNCTION("""COMPUTED_VALUE"""),2.25)</f>
        <v>2.25</v>
      </c>
      <c r="I56" s="6">
        <f>IFERROR(__xludf.DUMMYFUNCTION("""COMPUTED_VALUE"""),47.0)</f>
        <v>47</v>
      </c>
      <c r="J56" s="5">
        <f>IFERROR(__xludf.DUMMYFUNCTION("""COMPUTED_VALUE"""),470.0)</f>
        <v>470</v>
      </c>
      <c r="K56" s="5"/>
      <c r="L56" s="5"/>
      <c r="M56" s="5">
        <f>IFERROR(__xludf.DUMMYFUNCTION("""COMPUTED_VALUE"""),10.0)</f>
        <v>10</v>
      </c>
      <c r="N56" s="5"/>
      <c r="O56" s="5" t="str">
        <f>IFERROR(__xludf.DUMMYFUNCTION("""COMPUTED_VALUE"""),"Apr 7, Apr 28, May 5")</f>
        <v>Apr 7, Apr 28, May 5</v>
      </c>
      <c r="P56" s="5"/>
      <c r="Q56" s="5" t="str">
        <f>IFERROR(__xludf.DUMMYFUNCTION("""COMPUTED_VALUE"""),"Farah")</f>
        <v>Farah</v>
      </c>
      <c r="R56" s="5" t="str">
        <f>IFERROR(__xludf.DUMMYFUNCTION("""COMPUTED_VALUE"""),"Noah")</f>
        <v>Noah</v>
      </c>
      <c r="S56" s="5"/>
      <c r="T56" s="5"/>
      <c r="U56" s="5"/>
      <c r="V56" s="5"/>
      <c r="W56" s="5">
        <f>IFERROR(__xludf.DUMMYFUNCTION("""COMPUTED_VALUE"""),117.0)</f>
        <v>117</v>
      </c>
      <c r="X56" s="5">
        <f>IFERROR(__xludf.DUMMYFUNCTION("""COMPUTED_VALUE"""),18.0)</f>
        <v>18</v>
      </c>
      <c r="Y56" s="5">
        <f>IFERROR(__xludf.DUMMYFUNCTION("""COMPUTED_VALUE"""),90.0)</f>
        <v>90</v>
      </c>
      <c r="Z56" s="5"/>
      <c r="AA56" s="5">
        <f>IFERROR(__xludf.DUMMYFUNCTION("""COMPUTED_VALUE"""),96.0)</f>
        <v>96</v>
      </c>
      <c r="AB56" s="5">
        <f>IFERROR(__xludf.DUMMYFUNCTION("""COMPUTED_VALUE"""),321.0)</f>
        <v>321</v>
      </c>
      <c r="AC56" s="5">
        <f>IFERROR(__xludf.DUMMYFUNCTION("""COMPUTED_VALUE"""),0.0)</f>
        <v>0</v>
      </c>
      <c r="AD56" s="5">
        <f>IFERROR(__xludf.DUMMYFUNCTION("""COMPUTED_VALUE"""),-321.0)</f>
        <v>-321</v>
      </c>
      <c r="AE56" s="5"/>
      <c r="AF56" s="5"/>
      <c r="AG56" s="5"/>
      <c r="AH56" s="5"/>
      <c r="AI56" s="5"/>
      <c r="AJ56" s="5"/>
      <c r="AK56" s="5"/>
      <c r="AL56" s="5"/>
    </row>
    <row r="57">
      <c r="A57" s="5" t="str">
        <f>IFERROR(__xludf.DUMMYFUNCTION("""COMPUTED_VALUE"""),"yes")</f>
        <v>yes</v>
      </c>
      <c r="B57" s="5" t="str">
        <f>IFERROR(__xludf.DUMMYFUNCTION("""COMPUTED_VALUE"""),"Triaz")</f>
        <v>Triaz</v>
      </c>
      <c r="C57" s="5"/>
      <c r="D57" s="5" t="str">
        <f>IFERROR(__xludf.DUMMYFUNCTION("""COMPUTED_VALUE"""),"Tuesday 4:00-5:30 High Performance Ages 8-12")</f>
        <v>Tuesday 4:00-5:30 High Performance Ages 8-12</v>
      </c>
      <c r="E57" s="13">
        <f>IFERROR(__xludf.DUMMYFUNCTION("""COMPUTED_VALUE"""),46126.0)</f>
        <v>46126</v>
      </c>
      <c r="F57" s="14">
        <f>IFERROR(__xludf.DUMMYFUNCTION("""COMPUTED_VALUE"""),46203.0)</f>
        <v>46203</v>
      </c>
      <c r="G57" s="5">
        <f>IFERROR(__xludf.DUMMYFUNCTION("""COMPUTED_VALUE"""),10.0)</f>
        <v>10</v>
      </c>
      <c r="H57" s="15">
        <f>IFERROR(__xludf.DUMMYFUNCTION("""COMPUTED_VALUE"""),1.5)</f>
        <v>1.5</v>
      </c>
      <c r="I57" s="6">
        <f>IFERROR(__xludf.DUMMYFUNCTION("""COMPUTED_VALUE"""),36.0)</f>
        <v>36</v>
      </c>
      <c r="J57" s="5">
        <f>IFERROR(__xludf.DUMMYFUNCTION("""COMPUTED_VALUE"""),360.0)</f>
        <v>360</v>
      </c>
      <c r="K57" s="5"/>
      <c r="L57" s="5"/>
      <c r="M57" s="5">
        <f>IFERROR(__xludf.DUMMYFUNCTION("""COMPUTED_VALUE"""),4.0)</f>
        <v>4</v>
      </c>
      <c r="N57" s="5"/>
      <c r="O57" s="5" t="str">
        <f>IFERROR(__xludf.DUMMYFUNCTION("""COMPUTED_VALUE"""),"Apr 7, Apr 28, May 5")</f>
        <v>Apr 7, Apr 28, May 5</v>
      </c>
      <c r="P57" s="5"/>
      <c r="Q57" s="5" t="str">
        <f>IFERROR(__xludf.DUMMYFUNCTION("""COMPUTED_VALUE"""),"Farah")</f>
        <v>Farah</v>
      </c>
      <c r="R57" s="5" t="str">
        <f>IFERROR(__xludf.DUMMYFUNCTION("""COMPUTED_VALUE"""),"Noah")</f>
        <v>Noah</v>
      </c>
      <c r="S57" s="5" t="str">
        <f>IFERROR(__xludf.DUMMYFUNCTION("""COMPUTED_VALUE"""),"Set")</f>
        <v>Set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>
      <c r="A58" s="5" t="str">
        <f>IFERROR(__xludf.DUMMYFUNCTION("""COMPUTED_VALUE"""),"yes")</f>
        <v>yes</v>
      </c>
      <c r="B58" s="5" t="str">
        <f>IFERROR(__xludf.DUMMYFUNCTION("""COMPUTED_VALUE"""),"AICS On Campus at South")</f>
        <v>AICS On Campus at South</v>
      </c>
      <c r="C58" s="16">
        <f>IFERROR(__xludf.DUMMYFUNCTION("""COMPUTED_VALUE"""),0.125)</f>
        <v>0.125</v>
      </c>
      <c r="D58" s="5" t="str">
        <f>IFERROR(__xludf.DUMMYFUNCTION("""COMPUTED_VALUE"""),"Tuesday 3:15-4:30 Outside &amp; Little Gym")</f>
        <v>Tuesday 3:15-4:30 Outside &amp; Little Gym</v>
      </c>
      <c r="E58" s="13">
        <f>IFERROR(__xludf.DUMMYFUNCTION("""COMPUTED_VALUE"""),46084.0)</f>
        <v>46084</v>
      </c>
      <c r="F58" s="13">
        <f>IFERROR(__xludf.DUMMYFUNCTION("""COMPUTED_VALUE"""),46196.0)</f>
        <v>46196</v>
      </c>
      <c r="G58" s="5"/>
      <c r="H58" s="15">
        <f>IFERROR(__xludf.DUMMYFUNCTION("""COMPUTED_VALUE"""),1.75)</f>
        <v>1.75</v>
      </c>
      <c r="I58" s="15">
        <f>IFERROR(__xludf.DUMMYFUNCTION("""COMPUTED_VALUE"""),25.88)</f>
        <v>25.88</v>
      </c>
      <c r="J58" s="5">
        <f>IFERROR(__xludf.DUMMYFUNCTION("""COMPUTED_VALUE"""),440.0)</f>
        <v>440</v>
      </c>
      <c r="K58" s="5"/>
      <c r="L58" s="5"/>
      <c r="M58" s="5">
        <f>IFERROR(__xludf.DUMMYFUNCTION("""COMPUTED_VALUE"""),14.0)</f>
        <v>14</v>
      </c>
      <c r="N58" s="5"/>
      <c r="O58" s="5" t="str">
        <f>IFERROR(__xludf.DUMMYFUNCTION("""COMPUTED_VALUE"""),"Apr 7, Apr 28, May 5")</f>
        <v>Apr 7, Apr 28, May 5</v>
      </c>
      <c r="P58" s="5"/>
      <c r="Q58" s="5" t="str">
        <f>IFERROR(__xludf.DUMMYFUNCTION("""COMPUTED_VALUE"""),"Giorgio")</f>
        <v>Giorgio</v>
      </c>
      <c r="R58" s="5" t="str">
        <f>IFERROR(__xludf.DUMMYFUNCTION("""COMPUTED_VALUE"""),"Olha")</f>
        <v>Olha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>
      <c r="A59" s="5"/>
      <c r="B59" s="5" t="str">
        <f>IFERROR(__xludf.DUMMYFUNCTION("""COMPUTED_VALUE"""),"Wednesday")</f>
        <v>Wednesday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>
      <c r="A60" s="5" t="str">
        <f>IFERROR(__xludf.DUMMYFUNCTION("""COMPUTED_VALUE"""),"yes")</f>
        <v>yes</v>
      </c>
      <c r="B60" s="5" t="str">
        <f>IFERROR(__xludf.DUMMYFUNCTION("""COMPUTED_VALUE"""),"Triaz")</f>
        <v>Triaz</v>
      </c>
      <c r="C60" s="5" t="str">
        <f>IFERROR(__xludf.DUMMYFUNCTION("""COMPUTED_VALUE"""),"11:45 coaches arrive at Triaz. Class starts at 12:45")</f>
        <v>11:45 coaches arrive at Triaz. Class starts at 12:45</v>
      </c>
      <c r="D60" s="5" t="str">
        <f>IFERROR(__xludf.DUMMYFUNCTION("""COMPUTED_VALUE"""),"Wednesday 12-2:15 Adv. Beginner AICS Pickup Ages 7-9")</f>
        <v>Wednesday 12-2:15 Adv. Beginner AICS Pickup Ages 7-9</v>
      </c>
      <c r="E60" s="13">
        <f>IFERROR(__xludf.DUMMYFUNCTION("""COMPUTED_VALUE"""),46113.0)</f>
        <v>46113</v>
      </c>
      <c r="F60" s="13">
        <f>IFERROR(__xludf.DUMMYFUNCTION("""COMPUTED_VALUE"""),46204.0)</f>
        <v>46204</v>
      </c>
      <c r="G60" s="5">
        <f>IFERROR(__xludf.DUMMYFUNCTION("""COMPUTED_VALUE"""),13.0)</f>
        <v>13</v>
      </c>
      <c r="H60" s="15">
        <f>IFERROR(__xludf.DUMMYFUNCTION("""COMPUTED_VALUE"""),2.25)</f>
        <v>2.25</v>
      </c>
      <c r="I60" s="6">
        <f>IFERROR(__xludf.DUMMYFUNCTION("""COMPUTED_VALUE"""),47.0)</f>
        <v>47</v>
      </c>
      <c r="J60" s="5">
        <f>IFERROR(__xludf.DUMMYFUNCTION("""COMPUTED_VALUE"""),611.0)</f>
        <v>611</v>
      </c>
      <c r="K60" s="5"/>
      <c r="L60" s="5"/>
      <c r="M60" s="5">
        <f>IFERROR(__xludf.DUMMYFUNCTION("""COMPUTED_VALUE"""),13.0)</f>
        <v>13</v>
      </c>
      <c r="N60" s="5"/>
      <c r="O60" s="13">
        <f>IFERROR(__xludf.DUMMYFUNCTION("""COMPUTED_VALUE"""),46141.0)</f>
        <v>46141</v>
      </c>
      <c r="P60" s="5"/>
      <c r="Q60" s="5" t="str">
        <f>IFERROR(__xludf.DUMMYFUNCTION("""COMPUTED_VALUE"""),"Farah")</f>
        <v>Farah</v>
      </c>
      <c r="R60" s="5" t="str">
        <f>IFERROR(__xludf.DUMMYFUNCTION("""COMPUTED_VALUE"""),"Giorgio")</f>
        <v>Giorgio</v>
      </c>
      <c r="S60" s="5"/>
      <c r="T60" s="5"/>
      <c r="U60" s="5"/>
      <c r="V60" s="5"/>
      <c r="W60" s="5">
        <f>IFERROR(__xludf.DUMMYFUNCTION("""COMPUTED_VALUE"""),130.0)</f>
        <v>130</v>
      </c>
      <c r="X60" s="5"/>
      <c r="Y60" s="5">
        <f>IFERROR(__xludf.DUMMYFUNCTION("""COMPUTED_VALUE"""),100.0)</f>
        <v>100</v>
      </c>
      <c r="Z60" s="5">
        <f>IFERROR(__xludf.DUMMYFUNCTION("""COMPUTED_VALUE"""),52.5)</f>
        <v>52.5</v>
      </c>
      <c r="AA60" s="5">
        <f>IFERROR(__xludf.DUMMYFUNCTION("""COMPUTED_VALUE"""),96.0)</f>
        <v>96</v>
      </c>
      <c r="AB60" s="5">
        <f>IFERROR(__xludf.DUMMYFUNCTION("""COMPUTED_VALUE"""),378.5)</f>
        <v>378.5</v>
      </c>
      <c r="AC60" s="5">
        <f>IFERROR(__xludf.DUMMYFUNCTION("""COMPUTED_VALUE"""),0.0)</f>
        <v>0</v>
      </c>
      <c r="AD60" s="5">
        <f>IFERROR(__xludf.DUMMYFUNCTION("""COMPUTED_VALUE"""),-378.5)</f>
        <v>-378.5</v>
      </c>
      <c r="AE60" s="5"/>
      <c r="AF60" s="5"/>
      <c r="AG60" s="5"/>
      <c r="AH60" s="5"/>
      <c r="AI60" s="5"/>
      <c r="AJ60" s="5"/>
      <c r="AK60" s="5"/>
      <c r="AL60" s="5"/>
    </row>
    <row r="61">
      <c r="A61" s="5" t="str">
        <f>IFERROR(__xludf.DUMMYFUNCTION("""COMPUTED_VALUE"""),"yes")</f>
        <v>yes</v>
      </c>
      <c r="B61" s="5" t="str">
        <f>IFERROR(__xludf.DUMMYFUNCTION("""COMPUTED_VALUE"""),"Triaz")</f>
        <v>Triaz</v>
      </c>
      <c r="C61" s="5" t="str">
        <f>IFERROR(__xludf.DUMMYFUNCTION("""COMPUTED_VALUE"""),"11:45 coaches arrive at Triaz. Class starts at 12:45")</f>
        <v>11:45 coaches arrive at Triaz. Class starts at 12:45</v>
      </c>
      <c r="D61" s="5" t="str">
        <f>IFERROR(__xludf.DUMMYFUNCTION("""COMPUTED_VALUE"""),"Wednesday 12-1:45 Adv. Beginner AICS Pickup Ages 4-6")</f>
        <v>Wednesday 12-1:45 Adv. Beginner AICS Pickup Ages 4-6</v>
      </c>
      <c r="E61" s="13">
        <f>IFERROR(__xludf.DUMMYFUNCTION("""COMPUTED_VALUE"""),46113.0)</f>
        <v>46113</v>
      </c>
      <c r="F61" s="13">
        <f>IFERROR(__xludf.DUMMYFUNCTION("""COMPUTED_VALUE"""),46204.0)</f>
        <v>46204</v>
      </c>
      <c r="G61" s="5">
        <f>IFERROR(__xludf.DUMMYFUNCTION("""COMPUTED_VALUE"""),13.0)</f>
        <v>13</v>
      </c>
      <c r="H61" s="15">
        <f>IFERROR(__xludf.DUMMYFUNCTION("""COMPUTED_VALUE"""),0.75)</f>
        <v>0.75</v>
      </c>
      <c r="I61" s="6">
        <f>IFERROR(__xludf.DUMMYFUNCTION("""COMPUTED_VALUE"""),31.0)</f>
        <v>31</v>
      </c>
      <c r="J61" s="5">
        <f>IFERROR(__xludf.DUMMYFUNCTION("""COMPUTED_VALUE"""),403.0)</f>
        <v>403</v>
      </c>
      <c r="K61" s="5"/>
      <c r="L61" s="5"/>
      <c r="M61" s="5">
        <f>IFERROR(__xludf.DUMMYFUNCTION("""COMPUTED_VALUE"""),4.0)</f>
        <v>4</v>
      </c>
      <c r="N61" s="5"/>
      <c r="O61" s="13">
        <f>IFERROR(__xludf.DUMMYFUNCTION("""COMPUTED_VALUE"""),46141.0)</f>
        <v>46141</v>
      </c>
      <c r="P61" s="5"/>
      <c r="Q61" s="5" t="str">
        <f>IFERROR(__xludf.DUMMYFUNCTION("""COMPUTED_VALUE"""),"Farah")</f>
        <v>Farah</v>
      </c>
      <c r="R61" s="5" t="str">
        <f>IFERROR(__xludf.DUMMYFUNCTION("""COMPUTED_VALUE"""),"Melissa (12:30-1:45)")</f>
        <v>Melissa (12:30-1:45)</v>
      </c>
      <c r="S61" s="5"/>
      <c r="T61" s="5"/>
      <c r="U61" s="5"/>
      <c r="V61" s="5"/>
      <c r="W61" s="5">
        <f>IFERROR(__xludf.DUMMYFUNCTION("""COMPUTED_VALUE"""),0.0)</f>
        <v>0</v>
      </c>
      <c r="X61" s="5"/>
      <c r="Y61" s="5"/>
      <c r="Z61" s="5"/>
      <c r="AA61" s="5"/>
      <c r="AB61" s="5">
        <f>IFERROR(__xludf.DUMMYFUNCTION("""COMPUTED_VALUE"""),0.0)</f>
        <v>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>
      <c r="A62" s="5" t="str">
        <f>IFERROR(__xludf.DUMMYFUNCTION("""COMPUTED_VALUE"""),"yes")</f>
        <v>yes</v>
      </c>
      <c r="B62" s="5" t="str">
        <f>IFERROR(__xludf.DUMMYFUNCTION("""COMPUTED_VALUE"""),"Triaz")</f>
        <v>Triaz</v>
      </c>
      <c r="C62" s="5" t="str">
        <f>IFERROR(__xludf.DUMMYFUNCTION("""COMPUTED_VALUE"""),"Bakfiets 2")</f>
        <v>Bakfiets 2</v>
      </c>
      <c r="D62" s="5" t="str">
        <f>IFERROR(__xludf.DUMMYFUNCTION("""COMPUTED_VALUE"""),"Wednesday 1:00-2:45 Int'l French School Pickup Ages 8-12- Travel &amp; Snack Break .5hrs, Instruction 1hr")</f>
        <v>Wednesday 1:00-2:45 Int'l French School Pickup Ages 8-12- Travel &amp; Snack Break .5hrs, Instruction 1hr</v>
      </c>
      <c r="E62" s="5" t="str">
        <f>IFERROR(__xludf.DUMMYFUNCTION("""COMPUTED_VALUE"""),"Sept 3")</f>
        <v>Sept 3</v>
      </c>
      <c r="F62" s="14">
        <f>IFERROR(__xludf.DUMMYFUNCTION("""COMPUTED_VALUE"""),45832.0)</f>
        <v>45832</v>
      </c>
      <c r="G62" s="5"/>
      <c r="H62" s="15">
        <f>IFERROR(__xludf.DUMMYFUNCTION("""COMPUTED_VALUE"""),1.75)</f>
        <v>1.75</v>
      </c>
      <c r="I62" s="6">
        <f>IFERROR(__xludf.DUMMYFUNCTION("""COMPUTED_VALUE"""),41.0)</f>
        <v>41</v>
      </c>
      <c r="J62" s="5">
        <f>IFERROR(__xludf.DUMMYFUNCTION("""COMPUTED_VALUE"""),1150.0)</f>
        <v>1150</v>
      </c>
      <c r="K62" s="5"/>
      <c r="L62" s="5"/>
      <c r="M62" s="5">
        <f>IFERROR(__xludf.DUMMYFUNCTION("""COMPUTED_VALUE"""),6.0)</f>
        <v>6</v>
      </c>
      <c r="N62" s="6" t="str">
        <f>IFERROR(__xludf.DUMMYFUNCTION("""COMPUTED_VALUE"""),"Dec 17-makeup date?")</f>
        <v>Dec 17-makeup date?</v>
      </c>
      <c r="O62" s="5" t="str">
        <f>IFERROR(__xludf.DUMMYFUNCTION("""COMPUTED_VALUE"""),"Oct 22,29, Dec 17, 24,31, Feb 18,25, Apr 22,29, May 13, ")</f>
        <v>Oct 22,29, Dec 17, 24,31, Feb 18,25, Apr 22,29, May 13, </v>
      </c>
      <c r="P62" s="5"/>
      <c r="Q62" s="5" t="str">
        <f>IFERROR(__xludf.DUMMYFUNCTION("""COMPUTED_VALUE"""),"Noah")</f>
        <v>Noah</v>
      </c>
      <c r="R62" s="5"/>
      <c r="S62" s="5"/>
      <c r="T62" s="5"/>
      <c r="U62" s="5"/>
      <c r="V62" s="5"/>
      <c r="W62" s="5">
        <f>IFERROR(__xludf.DUMMYFUNCTION("""COMPUTED_VALUE"""),90.0)</f>
        <v>90</v>
      </c>
      <c r="X62" s="5"/>
      <c r="Y62" s="5"/>
      <c r="Z62" s="5"/>
      <c r="AA62" s="5">
        <f>IFERROR(__xludf.DUMMYFUNCTION("""COMPUTED_VALUE"""),0.0)</f>
        <v>0</v>
      </c>
      <c r="AB62" s="5">
        <f>IFERROR(__xludf.DUMMYFUNCTION("""COMPUTED_VALUE"""),90.0)</f>
        <v>90</v>
      </c>
      <c r="AC62" s="5">
        <f>IFERROR(__xludf.DUMMYFUNCTION("""COMPUTED_VALUE"""),0.0)</f>
        <v>0</v>
      </c>
      <c r="AD62" s="5">
        <f>IFERROR(__xludf.DUMMYFUNCTION("""COMPUTED_VALUE"""),-90.0)</f>
        <v>-90</v>
      </c>
      <c r="AE62" s="5"/>
      <c r="AF62" s="5"/>
      <c r="AG62" s="5"/>
      <c r="AH62" s="5"/>
      <c r="AI62" s="5"/>
      <c r="AJ62" s="5"/>
      <c r="AK62" s="5"/>
      <c r="AL62" s="5"/>
    </row>
    <row r="63">
      <c r="A63" s="5" t="str">
        <f>IFERROR(__xludf.DUMMYFUNCTION("""COMPUTED_VALUE"""),"yes")</f>
        <v>yes</v>
      </c>
      <c r="B63" s="5" t="str">
        <f>IFERROR(__xludf.DUMMYFUNCTION("""COMPUTED_VALUE"""),"Triaz")</f>
        <v>Triaz</v>
      </c>
      <c r="C63" s="5"/>
      <c r="D63" s="5" t="str">
        <f>IFERROR(__xludf.DUMMYFUNCTION("""COMPUTED_VALUE"""),"Wednesday 2:45-3:30 Ages 4-6")</f>
        <v>Wednesday 2:45-3:30 Ages 4-6</v>
      </c>
      <c r="E63" s="13">
        <f>IFERROR(__xludf.DUMMYFUNCTION("""COMPUTED_VALUE"""),46113.0)</f>
        <v>46113</v>
      </c>
      <c r="F63" s="13">
        <f>IFERROR(__xludf.DUMMYFUNCTION("""COMPUTED_VALUE"""),46204.0)</f>
        <v>46204</v>
      </c>
      <c r="G63" s="5">
        <f>IFERROR(__xludf.DUMMYFUNCTION("""COMPUTED_VALUE"""),13.0)</f>
        <v>13</v>
      </c>
      <c r="H63" s="15">
        <f>IFERROR(__xludf.DUMMYFUNCTION("""COMPUTED_VALUE"""),0.75)</f>
        <v>0.75</v>
      </c>
      <c r="I63" s="6">
        <f>IFERROR(__xludf.DUMMYFUNCTION("""COMPUTED_VALUE"""),20.0)</f>
        <v>20</v>
      </c>
      <c r="J63" s="5">
        <f>IFERROR(__xludf.DUMMYFUNCTION("""COMPUTED_VALUE"""),260.0)</f>
        <v>260</v>
      </c>
      <c r="K63" s="5"/>
      <c r="L63" s="5"/>
      <c r="M63" s="5">
        <f>IFERROR(__xludf.DUMMYFUNCTION("""COMPUTED_VALUE"""),10.0)</f>
        <v>10</v>
      </c>
      <c r="N63" s="5"/>
      <c r="O63" s="13">
        <f>IFERROR(__xludf.DUMMYFUNCTION("""COMPUTED_VALUE"""),46141.0)</f>
        <v>46141</v>
      </c>
      <c r="P63" s="5"/>
      <c r="Q63" s="5" t="str">
        <f>IFERROR(__xludf.DUMMYFUNCTION("""COMPUTED_VALUE"""),"Farah")</f>
        <v>Farah</v>
      </c>
      <c r="R63" s="5" t="str">
        <f>IFERROR(__xludf.DUMMYFUNCTION("""COMPUTED_VALUE"""),"Noah")</f>
        <v>Noah</v>
      </c>
      <c r="S63" s="5"/>
      <c r="T63" s="5"/>
      <c r="U63" s="5"/>
      <c r="V63" s="5"/>
      <c r="W63" s="5">
        <f>IFERROR(__xludf.DUMMYFUNCTION("""COMPUTED_VALUE"""),30.0)</f>
        <v>30</v>
      </c>
      <c r="X63" s="5"/>
      <c r="Y63" s="5"/>
      <c r="Z63" s="5"/>
      <c r="AA63" s="5">
        <f>IFERROR(__xludf.DUMMYFUNCTION("""COMPUTED_VALUE"""),0.0)</f>
        <v>0</v>
      </c>
      <c r="AB63" s="5">
        <f>IFERROR(__xludf.DUMMYFUNCTION("""COMPUTED_VALUE"""),30.0)</f>
        <v>30</v>
      </c>
      <c r="AC63" s="5">
        <f>IFERROR(__xludf.DUMMYFUNCTION("""COMPUTED_VALUE"""),0.0)</f>
        <v>0</v>
      </c>
      <c r="AD63" s="5">
        <f>IFERROR(__xludf.DUMMYFUNCTION("""COMPUTED_VALUE"""),-30.0)</f>
        <v>-30</v>
      </c>
      <c r="AE63" s="5"/>
      <c r="AF63" s="5"/>
      <c r="AG63" s="5"/>
      <c r="AH63" s="5"/>
      <c r="AI63" s="5"/>
      <c r="AJ63" s="5"/>
      <c r="AK63" s="5"/>
      <c r="AL63" s="5"/>
    </row>
    <row r="64">
      <c r="A64" s="5" t="str">
        <f>IFERROR(__xludf.DUMMYFUNCTION("""COMPUTED_VALUE"""),"yes")</f>
        <v>yes</v>
      </c>
      <c r="B64" s="5" t="str">
        <f>IFERROR(__xludf.DUMMYFUNCTION("""COMPUTED_VALUE"""),"Triaz")</f>
        <v>Triaz</v>
      </c>
      <c r="C64" s="5"/>
      <c r="D64" s="5" t="str">
        <f>IFERROR(__xludf.DUMMYFUNCTION("""COMPUTED_VALUE"""),"Wednesday 2:45-3:45 Ages 5-7 Advanced")</f>
        <v>Wednesday 2:45-3:45 Ages 5-7 Advanced</v>
      </c>
      <c r="E64" s="13">
        <f>IFERROR(__xludf.DUMMYFUNCTION("""COMPUTED_VALUE"""),46113.0)</f>
        <v>46113</v>
      </c>
      <c r="F64" s="13">
        <f>IFERROR(__xludf.DUMMYFUNCTION("""COMPUTED_VALUE"""),46204.0)</f>
        <v>46204</v>
      </c>
      <c r="G64" s="5">
        <f>IFERROR(__xludf.DUMMYFUNCTION("""COMPUTED_VALUE"""),13.0)</f>
        <v>13</v>
      </c>
      <c r="H64" s="15">
        <f>IFERROR(__xludf.DUMMYFUNCTION("""COMPUTED_VALUE"""),1.0)</f>
        <v>1</v>
      </c>
      <c r="I64" s="6">
        <f>IFERROR(__xludf.DUMMYFUNCTION("""COMPUTED_VALUE"""),28.0)</f>
        <v>28</v>
      </c>
      <c r="J64" s="5">
        <f>IFERROR(__xludf.DUMMYFUNCTION("""COMPUTED_VALUE"""),364.0)</f>
        <v>364</v>
      </c>
      <c r="K64" s="5"/>
      <c r="L64" s="5"/>
      <c r="M64" s="5">
        <f>IFERROR(__xludf.DUMMYFUNCTION("""COMPUTED_VALUE"""),8.0)</f>
        <v>8</v>
      </c>
      <c r="N64" s="5"/>
      <c r="O64" s="13">
        <f>IFERROR(__xludf.DUMMYFUNCTION("""COMPUTED_VALUE"""),46141.0)</f>
        <v>46141</v>
      </c>
      <c r="P64" s="5"/>
      <c r="Q64" s="5" t="str">
        <f>IFERROR(__xludf.DUMMYFUNCTION("""COMPUTED_VALUE"""),"Farah")</f>
        <v>Farah</v>
      </c>
      <c r="R64" s="5" t="str">
        <f>IFERROR(__xludf.DUMMYFUNCTION("""COMPUTED_VALUE"""),"Noah")</f>
        <v>Noah</v>
      </c>
      <c r="S64" s="5"/>
      <c r="T64" s="5"/>
      <c r="U64" s="5"/>
      <c r="V64" s="5"/>
      <c r="W64" s="5">
        <f>IFERROR(__xludf.DUMMYFUNCTION("""COMPUTED_VALUE"""),53.0)</f>
        <v>53</v>
      </c>
      <c r="X64" s="5"/>
      <c r="Y64" s="5"/>
      <c r="Z64" s="5"/>
      <c r="AA64" s="5">
        <f>IFERROR(__xludf.DUMMYFUNCTION("""COMPUTED_VALUE"""),46.0)</f>
        <v>46</v>
      </c>
      <c r="AB64" s="5">
        <f>IFERROR(__xludf.DUMMYFUNCTION("""COMPUTED_VALUE"""),99.0)</f>
        <v>99</v>
      </c>
      <c r="AC64" s="5">
        <f>IFERROR(__xludf.DUMMYFUNCTION("""COMPUTED_VALUE"""),0.0)</f>
        <v>0</v>
      </c>
      <c r="AD64" s="5">
        <f>IFERROR(__xludf.DUMMYFUNCTION("""COMPUTED_VALUE"""),-99.0)</f>
        <v>-99</v>
      </c>
      <c r="AE64" s="5"/>
      <c r="AF64" s="5"/>
      <c r="AG64" s="5"/>
      <c r="AH64" s="5"/>
      <c r="AI64" s="5"/>
      <c r="AJ64" s="5"/>
      <c r="AK64" s="5"/>
      <c r="AL64" s="5"/>
    </row>
    <row r="65">
      <c r="A65" s="5" t="str">
        <f>IFERROR(__xludf.DUMMYFUNCTION("""COMPUTED_VALUE"""),"yes")</f>
        <v>yes</v>
      </c>
      <c r="B65" s="5" t="str">
        <f>IFERROR(__xludf.DUMMYFUNCTION("""COMPUTED_VALUE"""),"Triaz")</f>
        <v>Triaz</v>
      </c>
      <c r="C65" s="5"/>
      <c r="D65" s="5" t="str">
        <f>IFERROR(__xludf.DUMMYFUNCTION("""COMPUTED_VALUE"""),"Wednesday 4:00-5:30 Ages 7-12 Beginner to High Performance divided by level")</f>
        <v>Wednesday 4:00-5:30 Ages 7-12 Beginner to High Performance divided by level</v>
      </c>
      <c r="E65" s="13">
        <f>IFERROR(__xludf.DUMMYFUNCTION("""COMPUTED_VALUE"""),46113.0)</f>
        <v>46113</v>
      </c>
      <c r="F65" s="13">
        <f>IFERROR(__xludf.DUMMYFUNCTION("""COMPUTED_VALUE"""),46204.0)</f>
        <v>46204</v>
      </c>
      <c r="G65" s="5">
        <f>IFERROR(__xludf.DUMMYFUNCTION("""COMPUTED_VALUE"""),13.0)</f>
        <v>13</v>
      </c>
      <c r="H65" s="15">
        <f>IFERROR(__xludf.DUMMYFUNCTION("""COMPUTED_VALUE"""),1.5)</f>
        <v>1.5</v>
      </c>
      <c r="I65" s="6">
        <f>IFERROR(__xludf.DUMMYFUNCTION("""COMPUTED_VALUE"""),36.0)</f>
        <v>36</v>
      </c>
      <c r="J65" s="5">
        <f>IFERROR(__xludf.DUMMYFUNCTION("""COMPUTED_VALUE"""),468.0)</f>
        <v>468</v>
      </c>
      <c r="K65" s="5"/>
      <c r="L65" s="5"/>
      <c r="M65" s="5">
        <f>IFERROR(__xludf.DUMMYFUNCTION("""COMPUTED_VALUE"""),18.0)</f>
        <v>18</v>
      </c>
      <c r="N65" s="5"/>
      <c r="O65" s="13">
        <f>IFERROR(__xludf.DUMMYFUNCTION("""COMPUTED_VALUE"""),46141.0)</f>
        <v>46141</v>
      </c>
      <c r="P65" s="5"/>
      <c r="Q65" s="5" t="str">
        <f>IFERROR(__xludf.DUMMYFUNCTION("""COMPUTED_VALUE"""),"Ivan")</f>
        <v>Ivan</v>
      </c>
      <c r="R65" s="5"/>
      <c r="S65" s="5"/>
      <c r="T65" s="5"/>
      <c r="U65" s="5"/>
      <c r="V65" s="5"/>
      <c r="W65" s="5">
        <f>IFERROR(__xludf.DUMMYFUNCTION("""COMPUTED_VALUE"""),64.5)</f>
        <v>64.5</v>
      </c>
      <c r="X65" s="5"/>
      <c r="Y65" s="5"/>
      <c r="Z65" s="5"/>
      <c r="AA65" s="5">
        <f>IFERROR(__xludf.DUMMYFUNCTION("""COMPUTED_VALUE"""),69.0)</f>
        <v>69</v>
      </c>
      <c r="AB65" s="5">
        <f>IFERROR(__xludf.DUMMYFUNCTION("""COMPUTED_VALUE"""),0.0)</f>
        <v>0</v>
      </c>
      <c r="AC65" s="5">
        <f>IFERROR(__xludf.DUMMYFUNCTION("""COMPUTED_VALUE"""),0.0)</f>
        <v>0</v>
      </c>
      <c r="AD65" s="5">
        <f>IFERROR(__xludf.DUMMYFUNCTION("""COMPUTED_VALUE"""),0.0)</f>
        <v>0</v>
      </c>
      <c r="AE65" s="5"/>
      <c r="AF65" s="5"/>
      <c r="AG65" s="5"/>
      <c r="AH65" s="5"/>
      <c r="AI65" s="5"/>
      <c r="AJ65" s="5"/>
      <c r="AK65" s="5"/>
      <c r="AL65" s="5"/>
    </row>
    <row r="66">
      <c r="A66" s="5"/>
      <c r="B66" s="5" t="str">
        <f>IFERROR(__xludf.DUMMYFUNCTION("""COMPUTED_VALUE"""),"Thursday")</f>
        <v>Thursday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f>IFERROR(__xludf.DUMMYFUNCTION("""COMPUTED_VALUE"""),0.0)</f>
        <v>0</v>
      </c>
      <c r="AC66" s="5">
        <f>IFERROR(__xludf.DUMMYFUNCTION("""COMPUTED_VALUE"""),0.0)</f>
        <v>0</v>
      </c>
      <c r="AD66" s="5">
        <f>IFERROR(__xludf.DUMMYFUNCTION("""COMPUTED_VALUE"""),0.0)</f>
        <v>0</v>
      </c>
      <c r="AE66" s="5"/>
      <c r="AF66" s="5"/>
      <c r="AG66" s="5"/>
      <c r="AH66" s="5"/>
      <c r="AI66" s="5"/>
      <c r="AJ66" s="5"/>
      <c r="AK66" s="5"/>
      <c r="AL66" s="5"/>
    </row>
    <row r="67">
      <c r="A67" s="5" t="str">
        <f>IFERROR(__xludf.DUMMYFUNCTION("""COMPUTED_VALUE"""),"yes")</f>
        <v>yes</v>
      </c>
      <c r="B67" s="5" t="str">
        <f>IFERROR(__xludf.DUMMYFUNCTION("""COMPUTED_VALUE"""),"Triaz")</f>
        <v>Triaz</v>
      </c>
      <c r="C67" s="5"/>
      <c r="D67" s="5" t="str">
        <f>IFERROR(__xludf.DUMMYFUNCTION("""COMPUTED_VALUE"""),"Thursday 3:15-5:15 Adv. Beginner AICS Pickup Ages 7-9")</f>
        <v>Thursday 3:15-5:15 Adv. Beginner AICS Pickup Ages 7-9</v>
      </c>
      <c r="E67" s="13">
        <f>IFERROR(__xludf.DUMMYFUNCTION("""COMPUTED_VALUE"""),46114.0)</f>
        <v>46114</v>
      </c>
      <c r="F67" s="13">
        <f>IFERROR(__xludf.DUMMYFUNCTION("""COMPUTED_VALUE"""),46205.0)</f>
        <v>46205</v>
      </c>
      <c r="G67" s="5">
        <f>IFERROR(__xludf.DUMMYFUNCTION("""COMPUTED_VALUE"""),12.0)</f>
        <v>12</v>
      </c>
      <c r="H67" s="15">
        <f>IFERROR(__xludf.DUMMYFUNCTION("""COMPUTED_VALUE"""),1.75)</f>
        <v>1.75</v>
      </c>
      <c r="I67" s="6">
        <f>IFERROR(__xludf.DUMMYFUNCTION("""COMPUTED_VALUE"""),47.0)</f>
        <v>47</v>
      </c>
      <c r="J67" s="5">
        <f>IFERROR(__xludf.DUMMYFUNCTION("""COMPUTED_VALUE"""),564.0)</f>
        <v>564</v>
      </c>
      <c r="K67" s="5"/>
      <c r="L67" s="5"/>
      <c r="M67" s="5">
        <f>IFERROR(__xludf.DUMMYFUNCTION("""COMPUTED_VALUE"""),14.0)</f>
        <v>14</v>
      </c>
      <c r="N67" s="5"/>
      <c r="O67" s="5" t="str">
        <f>IFERROR(__xludf.DUMMYFUNCTION("""COMPUTED_VALUE"""),"Apr 30, May 14")</f>
        <v>Apr 30, May 14</v>
      </c>
      <c r="P67" s="5"/>
      <c r="Q67" s="5" t="str">
        <f>IFERROR(__xludf.DUMMYFUNCTION("""COMPUTED_VALUE"""),"Noah")</f>
        <v>Noah</v>
      </c>
      <c r="R67" s="5" t="str">
        <f>IFERROR(__xludf.DUMMYFUNCTION("""COMPUTED_VALUE"""),"Ioannis")</f>
        <v>Ioannis</v>
      </c>
      <c r="S67" s="5"/>
      <c r="T67" s="5"/>
      <c r="U67" s="5"/>
      <c r="V67" s="5"/>
      <c r="W67" s="5"/>
      <c r="X67" s="5"/>
      <c r="Y67" s="5"/>
      <c r="Z67" s="5"/>
      <c r="AA67" s="5"/>
      <c r="AB67" s="5">
        <f>IFERROR(__xludf.DUMMYFUNCTION("""COMPUTED_VALUE"""),0.0)</f>
        <v>0</v>
      </c>
      <c r="AC67" s="5">
        <f>IFERROR(__xludf.DUMMYFUNCTION("""COMPUTED_VALUE"""),0.0)</f>
        <v>0</v>
      </c>
      <c r="AD67" s="5">
        <f>IFERROR(__xludf.DUMMYFUNCTION("""COMPUTED_VALUE"""),0.0)</f>
        <v>0</v>
      </c>
      <c r="AE67" s="5"/>
      <c r="AF67" s="5"/>
      <c r="AG67" s="5"/>
      <c r="AH67" s="5"/>
      <c r="AI67" s="5"/>
      <c r="AJ67" s="5"/>
      <c r="AK67" s="5"/>
      <c r="AL67" s="5"/>
    </row>
    <row r="68">
      <c r="A68" s="5" t="str">
        <f>IFERROR(__xludf.DUMMYFUNCTION("""COMPUTED_VALUE"""),"yes")</f>
        <v>yes</v>
      </c>
      <c r="B68" s="5" t="str">
        <f>IFERROR(__xludf.DUMMYFUNCTION("""COMPUTED_VALUE"""),"Triaz")</f>
        <v>Triaz</v>
      </c>
      <c r="C68" s="5"/>
      <c r="D68" s="5" t="str">
        <f>IFERROR(__xludf.DUMMYFUNCTION("""COMPUTED_VALUE"""),"Thursday 3:45-5:15 Adv Beg. Ages 7-9")</f>
        <v>Thursday 3:45-5:15 Adv Beg. Ages 7-9</v>
      </c>
      <c r="E68" s="13">
        <f>IFERROR(__xludf.DUMMYFUNCTION("""COMPUTED_VALUE"""),46114.0)</f>
        <v>46114</v>
      </c>
      <c r="F68" s="13">
        <f>IFERROR(__xludf.DUMMYFUNCTION("""COMPUTED_VALUE"""),46205.0)</f>
        <v>46205</v>
      </c>
      <c r="G68" s="5">
        <f>IFERROR(__xludf.DUMMYFUNCTION("""COMPUTED_VALUE"""),12.0)</f>
        <v>12</v>
      </c>
      <c r="H68" s="15">
        <f>IFERROR(__xludf.DUMMYFUNCTION("""COMPUTED_VALUE"""),1.5)</f>
        <v>1.5</v>
      </c>
      <c r="I68" s="6">
        <f>IFERROR(__xludf.DUMMYFUNCTION("""COMPUTED_VALUE"""),36.0)</f>
        <v>36</v>
      </c>
      <c r="J68" s="5">
        <f>IFERROR(__xludf.DUMMYFUNCTION("""COMPUTED_VALUE"""),432.0)</f>
        <v>432</v>
      </c>
      <c r="K68" s="5"/>
      <c r="L68" s="5"/>
      <c r="M68" s="5">
        <f>IFERROR(__xludf.DUMMYFUNCTION("""COMPUTED_VALUE"""),4.0)</f>
        <v>4</v>
      </c>
      <c r="N68" s="5"/>
      <c r="O68" s="5" t="str">
        <f>IFERROR(__xludf.DUMMYFUNCTION("""COMPUTED_VALUE"""),"Apr 30, May 14")</f>
        <v>Apr 30, May 14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f>IFERROR(__xludf.DUMMYFUNCTION("""COMPUTED_VALUE"""),0.0)</f>
        <v>0</v>
      </c>
      <c r="AC68" s="5">
        <f>IFERROR(__xludf.DUMMYFUNCTION("""COMPUTED_VALUE"""),0.0)</f>
        <v>0</v>
      </c>
      <c r="AD68" s="5">
        <f>IFERROR(__xludf.DUMMYFUNCTION("""COMPUTED_VALUE"""),0.0)</f>
        <v>0</v>
      </c>
      <c r="AE68" s="5"/>
      <c r="AF68" s="5"/>
      <c r="AG68" s="5"/>
      <c r="AH68" s="5"/>
      <c r="AI68" s="5"/>
      <c r="AJ68" s="5"/>
      <c r="AK68" s="5"/>
      <c r="AL68" s="5"/>
    </row>
    <row r="69">
      <c r="A69" s="5" t="str">
        <f>IFERROR(__xludf.DUMMYFUNCTION("""COMPUTED_VALUE"""),"yes")</f>
        <v>yes</v>
      </c>
      <c r="B69" s="5" t="str">
        <f>IFERROR(__xludf.DUMMYFUNCTION("""COMPUTED_VALUE"""),"Triaz")</f>
        <v>Triaz</v>
      </c>
      <c r="C69" s="5" t="str">
        <f>IFERROR(__xludf.DUMMYFUNCTION("""COMPUTED_VALUE"""),"speicial offer as we think sign ups were low last year, because cost high")</f>
        <v>speicial offer as we think sign ups were low last year, because cost high</v>
      </c>
      <c r="D69" s="5" t="str">
        <f>IFERROR(__xludf.DUMMYFUNCTION("""COMPUTED_VALUE"""),"Thursday 2:15-3:45 Kindercampus Zuidas Pickup Ages 6-8")</f>
        <v>Thursday 2:15-3:45 Kindercampus Zuidas Pickup Ages 6-8</v>
      </c>
      <c r="E69" s="13">
        <f>IFERROR(__xludf.DUMMYFUNCTION("""COMPUTED_VALUE"""),46114.0)</f>
        <v>46114</v>
      </c>
      <c r="F69" s="13">
        <f>IFERROR(__xludf.DUMMYFUNCTION("""COMPUTED_VALUE"""),46205.0)</f>
        <v>46205</v>
      </c>
      <c r="G69" s="5">
        <f>IFERROR(__xludf.DUMMYFUNCTION("""COMPUTED_VALUE"""),12.0)</f>
        <v>12</v>
      </c>
      <c r="H69" s="15">
        <f>IFERROR(__xludf.DUMMYFUNCTION("""COMPUTED_VALUE"""),2.25)</f>
        <v>2.25</v>
      </c>
      <c r="I69" s="15">
        <f>IFERROR(__xludf.DUMMYFUNCTION("""COMPUTED_VALUE"""),39.0)</f>
        <v>39</v>
      </c>
      <c r="J69" s="5">
        <f>IFERROR(__xludf.DUMMYFUNCTION("""COMPUTED_VALUE"""),399.0)</f>
        <v>399</v>
      </c>
      <c r="K69" s="5"/>
      <c r="L69" s="5"/>
      <c r="M69" s="5">
        <f>IFERROR(__xludf.DUMMYFUNCTION("""COMPUTED_VALUE"""),8.0)</f>
        <v>8</v>
      </c>
      <c r="N69" s="5"/>
      <c r="O69" s="5" t="str">
        <f>IFERROR(__xludf.DUMMYFUNCTION("""COMPUTED_VALUE"""),"Apr 30, May 14")</f>
        <v>Apr 30, May 14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</row>
    <row r="70">
      <c r="A70" s="5" t="str">
        <f>IFERROR(__xludf.DUMMYFUNCTION("""COMPUTED_VALUE"""),"yes")</f>
        <v>yes</v>
      </c>
      <c r="B70" s="5" t="str">
        <f>IFERROR(__xludf.DUMMYFUNCTION("""COMPUTED_VALUE"""),"Triaz")</f>
        <v>Triaz</v>
      </c>
      <c r="C70" s="5"/>
      <c r="D70" s="5" t="str">
        <f>IFERROR(__xludf.DUMMYFUNCTION("""COMPUTED_VALUE"""),"Thursday  2:45-3:45 Ages 6-8")</f>
        <v>Thursday  2:45-3:45 Ages 6-8</v>
      </c>
      <c r="E70" s="14">
        <f>IFERROR(__xludf.DUMMYFUNCTION("""COMPUTED_VALUE"""),46114.0)</f>
        <v>46114</v>
      </c>
      <c r="F70" s="13">
        <f>IFERROR(__xludf.DUMMYFUNCTION("""COMPUTED_VALUE"""),46205.0)</f>
        <v>46205</v>
      </c>
      <c r="G70" s="5">
        <f>IFERROR(__xludf.DUMMYFUNCTION("""COMPUTED_VALUE"""),12.0)</f>
        <v>12</v>
      </c>
      <c r="H70" s="15">
        <f>IFERROR(__xludf.DUMMYFUNCTION("""COMPUTED_VALUE"""),2.25)</f>
        <v>2.25</v>
      </c>
      <c r="I70" s="15">
        <f>IFERROR(__xludf.DUMMYFUNCTION("""COMPUTED_VALUE"""),28.0)</f>
        <v>28</v>
      </c>
      <c r="J70" s="5">
        <f>IFERROR(__xludf.DUMMYFUNCTION("""COMPUTED_VALUE"""),336.0)</f>
        <v>336</v>
      </c>
      <c r="K70" s="5"/>
      <c r="L70" s="5"/>
      <c r="M70" s="5">
        <f>IFERROR(__xludf.DUMMYFUNCTION("""COMPUTED_VALUE"""),4.0)</f>
        <v>4</v>
      </c>
      <c r="N70" s="5"/>
      <c r="O70" s="5" t="str">
        <f>IFERROR(__xludf.DUMMYFUNCTION("""COMPUTED_VALUE"""),"Apr 30, May 14")</f>
        <v>Apr 30, May 14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</row>
    <row r="71">
      <c r="A71" s="5"/>
      <c r="B71" s="5" t="str">
        <f>IFERROR(__xludf.DUMMYFUNCTION("""COMPUTED_VALUE"""),"Friday")</f>
        <v>Friday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f>IFERROR(__xludf.DUMMYFUNCTION("""COMPUTED_VALUE"""),0.0)</f>
        <v>0</v>
      </c>
      <c r="AC71" s="5">
        <f>IFERROR(__xludf.DUMMYFUNCTION("""COMPUTED_VALUE"""),0.0)</f>
        <v>0</v>
      </c>
      <c r="AD71" s="5">
        <f>IFERROR(__xludf.DUMMYFUNCTION("""COMPUTED_VALUE"""),0.0)</f>
        <v>0</v>
      </c>
      <c r="AE71" s="5"/>
      <c r="AF71" s="5"/>
      <c r="AG71" s="5"/>
      <c r="AH71" s="5"/>
      <c r="AI71" s="5"/>
      <c r="AJ71" s="5"/>
      <c r="AK71" s="5"/>
      <c r="AL71" s="5"/>
    </row>
    <row r="72">
      <c r="A72" s="5" t="str">
        <f>IFERROR(__xludf.DUMMYFUNCTION("""COMPUTED_VALUE"""),"yes")</f>
        <v>yes</v>
      </c>
      <c r="B72" s="5" t="str">
        <f>IFERROR(__xludf.DUMMYFUNCTION("""COMPUTED_VALUE"""),"Randwijk")</f>
        <v>Randwijk</v>
      </c>
      <c r="C72" s="5">
        <f>IFERROR(__xludf.DUMMYFUNCTION("""COMPUTED_VALUE"""),12.0)</f>
        <v>12</v>
      </c>
      <c r="D72" s="5" t="str">
        <f>IFERROR(__xludf.DUMMYFUNCTION("""COMPUTED_VALUE"""),"Fri 12:30-2:00 Amity Pickup Ages 5-6yo Adv Beginner")</f>
        <v>Fri 12:30-2:00 Amity Pickup Ages 5-6yo Adv Beginner</v>
      </c>
      <c r="E72" s="13">
        <f>IFERROR(__xludf.DUMMYFUNCTION("""COMPUTED_VALUE"""),46136.0)</f>
        <v>46136</v>
      </c>
      <c r="F72" s="13">
        <f>IFERROR(__xludf.DUMMYFUNCTION("""COMPUTED_VALUE"""),46192.0)</f>
        <v>46192</v>
      </c>
      <c r="G72" s="5">
        <f>IFERROR(__xludf.DUMMYFUNCTION("""COMPUTED_VALUE"""),9.0)</f>
        <v>9</v>
      </c>
      <c r="H72" s="15">
        <f>IFERROR(__xludf.DUMMYFUNCTION("""COMPUTED_VALUE"""),2.25)</f>
        <v>2.25</v>
      </c>
      <c r="I72" s="6">
        <f>IFERROR(__xludf.DUMMYFUNCTION("""COMPUTED_VALUE"""),39.0)</f>
        <v>39</v>
      </c>
      <c r="J72" s="5">
        <f>IFERROR(__xludf.DUMMYFUNCTION("""COMPUTED_VALUE"""),351.0)</f>
        <v>351</v>
      </c>
      <c r="K72" s="5">
        <f>IFERROR(__xludf.DUMMYFUNCTION("""COMPUTED_VALUE"""),396.0)</f>
        <v>396</v>
      </c>
      <c r="L72" s="5"/>
      <c r="M72" s="5">
        <f>IFERROR(__xludf.DUMMYFUNCTION("""COMPUTED_VALUE"""),6.0)</f>
        <v>6</v>
      </c>
      <c r="N72" s="5"/>
      <c r="O72" s="5" t="str">
        <f>IFERROR(__xludf.DUMMYFUNCTION("""COMPUTED_VALUE"""),"Apr 3,10,17")</f>
        <v>Apr 3,10,17</v>
      </c>
      <c r="P72" s="5"/>
      <c r="Q72" s="5" t="str">
        <f>IFERROR(__xludf.DUMMYFUNCTION("""COMPUTED_VALUE"""),"Noah")</f>
        <v>Noah</v>
      </c>
      <c r="R72" s="5"/>
      <c r="S72" s="5"/>
      <c r="T72" s="5"/>
      <c r="U72" s="5"/>
      <c r="V72" s="5"/>
      <c r="W72" s="5">
        <f>IFERROR(__xludf.DUMMYFUNCTION("""COMPUTED_VALUE"""),100.0)</f>
        <v>100</v>
      </c>
      <c r="X72" s="5"/>
      <c r="Y72" s="5"/>
      <c r="Z72" s="5"/>
      <c r="AA72" s="5">
        <f>IFERROR(__xludf.DUMMYFUNCTION("""COMPUTED_VALUE"""),56.25)</f>
        <v>56.25</v>
      </c>
      <c r="AB72" s="5">
        <f>IFERROR(__xludf.DUMMYFUNCTION("""COMPUTED_VALUE"""),156.25)</f>
        <v>156.25</v>
      </c>
      <c r="AC72" s="5">
        <f>IFERROR(__xludf.DUMMYFUNCTION("""COMPUTED_VALUE"""),0.0)</f>
        <v>0</v>
      </c>
      <c r="AD72" s="5">
        <f>IFERROR(__xludf.DUMMYFUNCTION("""COMPUTED_VALUE"""),-156.25)</f>
        <v>-156.25</v>
      </c>
      <c r="AE72" s="5"/>
      <c r="AF72" s="5"/>
      <c r="AG72" s="5"/>
      <c r="AH72" s="5"/>
      <c r="AI72" s="5"/>
      <c r="AJ72" s="5"/>
      <c r="AK72" s="5"/>
      <c r="AL72" s="5"/>
    </row>
    <row r="73">
      <c r="A73" s="5" t="str">
        <f>IFERROR(__xludf.DUMMYFUNCTION("""COMPUTED_VALUE"""),"yes")</f>
        <v>yes</v>
      </c>
      <c r="B73" s="5" t="str">
        <f>IFERROR(__xludf.DUMMYFUNCTION("""COMPUTED_VALUE"""),"Randwijk")</f>
        <v>Randwijk</v>
      </c>
      <c r="C73" s="5">
        <f>IFERROR(__xludf.DUMMYFUNCTION("""COMPUTED_VALUE"""),12.0)</f>
        <v>12</v>
      </c>
      <c r="D73" s="5" t="str">
        <f>IFERROR(__xludf.DUMMYFUNCTION("""COMPUTED_VALUE"""),"Fri 12:30-2:30 Amity Pickup Ages 7-10yo Beg-High Perf")</f>
        <v>Fri 12:30-2:30 Amity Pickup Ages 7-10yo Beg-High Perf</v>
      </c>
      <c r="E73" s="13">
        <f>IFERROR(__xludf.DUMMYFUNCTION("""COMPUTED_VALUE"""),46136.0)</f>
        <v>46136</v>
      </c>
      <c r="F73" s="13">
        <f>IFERROR(__xludf.DUMMYFUNCTION("""COMPUTED_VALUE"""),46192.0)</f>
        <v>46192</v>
      </c>
      <c r="G73" s="5">
        <f>IFERROR(__xludf.DUMMYFUNCTION("""COMPUTED_VALUE"""),9.0)</f>
        <v>9</v>
      </c>
      <c r="H73" s="15">
        <f>IFERROR(__xludf.DUMMYFUNCTION("""COMPUTED_VALUE"""),2.25)</f>
        <v>2.25</v>
      </c>
      <c r="I73" s="6">
        <f>IFERROR(__xludf.DUMMYFUNCTION("""COMPUTED_VALUE"""),47.0)</f>
        <v>47</v>
      </c>
      <c r="J73" s="5">
        <f>IFERROR(__xludf.DUMMYFUNCTION("""COMPUTED_VALUE"""),423.0)</f>
        <v>423</v>
      </c>
      <c r="K73" s="5">
        <f>IFERROR(__xludf.DUMMYFUNCTION("""COMPUTED_VALUE"""),468.0)</f>
        <v>468</v>
      </c>
      <c r="L73" s="5"/>
      <c r="M73" s="5">
        <f>IFERROR(__xludf.DUMMYFUNCTION("""COMPUTED_VALUE"""),8.0)</f>
        <v>8</v>
      </c>
      <c r="N73" s="5"/>
      <c r="O73" s="5" t="str">
        <f>IFERROR(__xludf.DUMMYFUNCTION("""COMPUTED_VALUE"""),"Apr 3,10,17")</f>
        <v>Apr 3,10,17</v>
      </c>
      <c r="P73" s="5"/>
      <c r="Q73" s="5" t="str">
        <f>IFERROR(__xludf.DUMMYFUNCTION("""COMPUTED_VALUE"""),"Noah")</f>
        <v>Noah</v>
      </c>
      <c r="R73" s="5"/>
      <c r="S73" s="5"/>
      <c r="T73" s="5"/>
      <c r="U73" s="5"/>
      <c r="V73" s="5"/>
      <c r="W73" s="5">
        <f>IFERROR(__xludf.DUMMYFUNCTION("""COMPUTED_VALUE"""),100.0)</f>
        <v>100</v>
      </c>
      <c r="X73" s="5"/>
      <c r="Y73" s="5"/>
      <c r="Z73" s="5"/>
      <c r="AA73" s="5">
        <f>IFERROR(__xludf.DUMMYFUNCTION("""COMPUTED_VALUE"""),56.25)</f>
        <v>56.25</v>
      </c>
      <c r="AB73" s="5">
        <f>IFERROR(__xludf.DUMMYFUNCTION("""COMPUTED_VALUE"""),156.25)</f>
        <v>156.25</v>
      </c>
      <c r="AC73" s="5">
        <f>IFERROR(__xludf.DUMMYFUNCTION("""COMPUTED_VALUE"""),0.0)</f>
        <v>0</v>
      </c>
      <c r="AD73" s="5">
        <f>IFERROR(__xludf.DUMMYFUNCTION("""COMPUTED_VALUE"""),-156.25)</f>
        <v>-156.25</v>
      </c>
      <c r="AE73" s="5"/>
      <c r="AF73" s="5"/>
      <c r="AG73" s="5"/>
      <c r="AH73" s="5"/>
      <c r="AI73" s="5"/>
      <c r="AJ73" s="5"/>
      <c r="AK73" s="5"/>
      <c r="AL73" s="5"/>
    </row>
    <row r="74">
      <c r="A74" s="5" t="str">
        <f>IFERROR(__xludf.DUMMYFUNCTION("""COMPUTED_VALUE"""),"yes")</f>
        <v>yes</v>
      </c>
      <c r="B74" s="5" t="str">
        <f>IFERROR(__xludf.DUMMYFUNCTION("""COMPUTED_VALUE"""),"Triaz")</f>
        <v>Triaz</v>
      </c>
      <c r="C74" s="5"/>
      <c r="D74" s="5" t="str">
        <f>IFERROR(__xludf.DUMMYFUNCTION("""COMPUTED_VALUE"""),"Friday 3:30/3:40-5:00 ages 5-7 pickup IFS ")</f>
        <v>Friday 3:30/3:40-5:00 ages 5-7 pickup IFS </v>
      </c>
      <c r="E74" s="5" t="str">
        <f>IFERROR(__xludf.DUMMYFUNCTION("""COMPUTED_VALUE"""),"Sept 5")</f>
        <v>Sept 5</v>
      </c>
      <c r="F74" s="14">
        <f>IFERROR(__xludf.DUMMYFUNCTION("""COMPUTED_VALUE"""),45834.0)</f>
        <v>45834</v>
      </c>
      <c r="G74" s="5"/>
      <c r="H74" s="15">
        <f>IFERROR(__xludf.DUMMYFUNCTION("""COMPUTED_VALUE"""),1.75)</f>
        <v>1.75</v>
      </c>
      <c r="I74" s="6">
        <f>IFERROR(__xludf.DUMMYFUNCTION("""COMPUTED_VALUE"""),41.0)</f>
        <v>41</v>
      </c>
      <c r="J74" s="5">
        <f>IFERROR(__xludf.DUMMYFUNCTION("""COMPUTED_VALUE"""),1080.0)</f>
        <v>1080</v>
      </c>
      <c r="K74" s="5"/>
      <c r="L74" s="5"/>
      <c r="M74" s="5">
        <f>IFERROR(__xludf.DUMMYFUNCTION("""COMPUTED_VALUE"""),5.0)</f>
        <v>5</v>
      </c>
      <c r="N74" s="5"/>
      <c r="O74" s="5" t="str">
        <f>IFERROR(__xludf.DUMMYFUNCTION("""COMPUTED_VALUE"""),"Oct ,24,31 Dec19,26 Jan 2 Feb 20,27, Apr 3,24 May 1, 15,22")</f>
        <v>Oct ,24,31 Dec19,26 Jan 2 Feb 20,27, Apr 3,24 May 1, 15,22</v>
      </c>
      <c r="P74" s="5"/>
      <c r="Q74" s="5" t="str">
        <f>IFERROR(__xludf.DUMMYFUNCTION("""COMPUTED_VALUE"""),"Noah")</f>
        <v>Noah</v>
      </c>
      <c r="R74" s="5"/>
      <c r="S74" s="5"/>
      <c r="T74" s="5"/>
      <c r="U74" s="5"/>
      <c r="V74" s="5"/>
      <c r="W74" s="5">
        <f>IFERROR(__xludf.DUMMYFUNCTION("""COMPUTED_VALUE"""),80.0)</f>
        <v>80</v>
      </c>
      <c r="X74" s="5"/>
      <c r="Y74" s="5"/>
      <c r="Z74" s="5"/>
      <c r="AA74" s="5">
        <f>IFERROR(__xludf.DUMMYFUNCTION("""COMPUTED_VALUE"""),56.25)</f>
        <v>56.25</v>
      </c>
      <c r="AB74" s="5">
        <f>IFERROR(__xludf.DUMMYFUNCTION("""COMPUTED_VALUE"""),136.25)</f>
        <v>136.25</v>
      </c>
      <c r="AC74" s="5">
        <f>IFERROR(__xludf.DUMMYFUNCTION("""COMPUTED_VALUE"""),0.0)</f>
        <v>0</v>
      </c>
      <c r="AD74" s="5">
        <f>IFERROR(__xludf.DUMMYFUNCTION("""COMPUTED_VALUE"""),-136.25)</f>
        <v>-136.25</v>
      </c>
      <c r="AE74" s="5"/>
      <c r="AF74" s="5"/>
      <c r="AG74" s="5"/>
      <c r="AH74" s="5"/>
      <c r="AI74" s="5"/>
      <c r="AJ74" s="5"/>
      <c r="AK74" s="5"/>
      <c r="AL74" s="5"/>
    </row>
    <row r="75">
      <c r="A75" s="5" t="str">
        <f>IFERROR(__xludf.DUMMYFUNCTION("""COMPUTED_VALUE"""),"yes")</f>
        <v>yes</v>
      </c>
      <c r="B75" s="5" t="str">
        <f>IFERROR(__xludf.DUMMYFUNCTION("""COMPUTED_VALUE"""),"Triaz")</f>
        <v>Triaz</v>
      </c>
      <c r="C75" s="5"/>
      <c r="D75" s="5" t="str">
        <f>IFERROR(__xludf.DUMMYFUNCTION("""COMPUTED_VALUE"""),"Friday 3:30/3:40-5:30 ages 8-12 pickup IFS")</f>
        <v>Friday 3:30/3:40-5:30 ages 8-12 pickup IFS</v>
      </c>
      <c r="E75" s="5" t="str">
        <f>IFERROR(__xludf.DUMMYFUNCTION("""COMPUTED_VALUE"""),"Sept 5")</f>
        <v>Sept 5</v>
      </c>
      <c r="F75" s="14">
        <f>IFERROR(__xludf.DUMMYFUNCTION("""COMPUTED_VALUE"""),45834.0)</f>
        <v>45834</v>
      </c>
      <c r="G75" s="5"/>
      <c r="H75" s="15">
        <f>IFERROR(__xludf.DUMMYFUNCTION("""COMPUTED_VALUE"""),2.0)</f>
        <v>2</v>
      </c>
      <c r="I75" s="6">
        <f>IFERROR(__xludf.DUMMYFUNCTION("""COMPUTED_VALUE"""),45.0)</f>
        <v>45</v>
      </c>
      <c r="J75" s="6">
        <f>IFERROR(__xludf.DUMMYFUNCTION("""COMPUTED_VALUE"""),0.0)</f>
        <v>0</v>
      </c>
      <c r="K75" s="5"/>
      <c r="L75" s="5"/>
      <c r="M75" s="5">
        <f>IFERROR(__xludf.DUMMYFUNCTION("""COMPUTED_VALUE"""),7.0)</f>
        <v>7</v>
      </c>
      <c r="N75" s="5"/>
      <c r="O75" s="5" t="str">
        <f>IFERROR(__xludf.DUMMYFUNCTION("""COMPUTED_VALUE"""),"Oct ,24,31 Dec19,26 Jan 2 Feb 20,27, Apr 3,24 May 1, 15,22")</f>
        <v>Oct ,24,31 Dec19,26 Jan 2 Feb 20,27, Apr 3,24 May 1, 15,22</v>
      </c>
      <c r="P75" s="5"/>
      <c r="Q75" s="5" t="str">
        <f>IFERROR(__xludf.DUMMYFUNCTION("""COMPUTED_VALUE"""),"Yassine")</f>
        <v>Yassine</v>
      </c>
      <c r="R75" s="5"/>
      <c r="S75" s="5"/>
      <c r="T75" s="5"/>
      <c r="U75" s="5"/>
      <c r="V75" s="5"/>
      <c r="W75" s="5">
        <f>IFERROR(__xludf.DUMMYFUNCTION("""COMPUTED_VALUE"""),87.5)</f>
        <v>87.5</v>
      </c>
      <c r="X75" s="5"/>
      <c r="Y75" s="5"/>
      <c r="Z75" s="5"/>
      <c r="AA75" s="5">
        <f>IFERROR(__xludf.DUMMYFUNCTION("""COMPUTED_VALUE"""),0.0)</f>
        <v>0</v>
      </c>
      <c r="AB75" s="5">
        <f>IFERROR(__xludf.DUMMYFUNCTION("""COMPUTED_VALUE"""),87.5)</f>
        <v>87.5</v>
      </c>
      <c r="AC75" s="5">
        <f>IFERROR(__xludf.DUMMYFUNCTION("""COMPUTED_VALUE"""),0.0)</f>
        <v>0</v>
      </c>
      <c r="AD75" s="5">
        <f>IFERROR(__xludf.DUMMYFUNCTION("""COMPUTED_VALUE"""),-87.5)</f>
        <v>-87.5</v>
      </c>
      <c r="AE75" s="5"/>
      <c r="AF75" s="5"/>
      <c r="AG75" s="5"/>
      <c r="AH75" s="5"/>
      <c r="AI75" s="5"/>
      <c r="AJ75" s="5"/>
      <c r="AK75" s="5"/>
      <c r="AL75" s="5"/>
    </row>
    <row r="76">
      <c r="A76" s="5" t="str">
        <f>IFERROR(__xludf.DUMMYFUNCTION("""COMPUTED_VALUE"""),"yes")</f>
        <v>yes</v>
      </c>
      <c r="B76" s="5" t="str">
        <f>IFERROR(__xludf.DUMMYFUNCTION("""COMPUTED_VALUE"""),"AICS On Campus at South")</f>
        <v>AICS On Campus at South</v>
      </c>
      <c r="C76" s="16">
        <f>IFERROR(__xludf.DUMMYFUNCTION("""COMPUTED_VALUE"""),0.125)</f>
        <v>0.125</v>
      </c>
      <c r="D76" s="5" t="str">
        <f>IFERROR(__xludf.DUMMYFUNCTION("""COMPUTED_VALUE"""),"Friday 3:15-4:30 Big Gym-unless school needs then outside/little gym")</f>
        <v>Friday 3:15-4:30 Big Gym-unless school needs then outside/little gym</v>
      </c>
      <c r="E76" s="5"/>
      <c r="F76" s="5"/>
      <c r="G76" s="5"/>
      <c r="H76" s="15">
        <f>IFERROR(__xludf.DUMMYFUNCTION("""COMPUTED_VALUE"""),1.75)</f>
        <v>1.75</v>
      </c>
      <c r="I76" s="6" t="str">
        <f>IFERROR(__xludf.DUMMYFUNCTION("""COMPUTED_VALUE"""),"25.88 (incl 21% by the way)")</f>
        <v>25.88 (incl 21% by the way)</v>
      </c>
      <c r="J76" s="5">
        <f>IFERROR(__xludf.DUMMYFUNCTION("""COMPUTED_VALUE"""),440.0)</f>
        <v>440</v>
      </c>
      <c r="K76" s="5"/>
      <c r="L76" s="5"/>
      <c r="M76" s="5">
        <f>IFERROR(__xludf.DUMMYFUNCTION("""COMPUTED_VALUE"""),6.0)</f>
        <v>6</v>
      </c>
      <c r="N76" s="5"/>
      <c r="O76" s="5"/>
      <c r="P76" s="5"/>
      <c r="Q76" s="5" t="str">
        <f>IFERROR(__xludf.DUMMYFUNCTION("""COMPUTED_VALUE"""),"Sofia")</f>
        <v>Sofia</v>
      </c>
      <c r="R76" s="5" t="str">
        <f>IFERROR(__xludf.DUMMYFUNCTION("""COMPUTED_VALUE"""),"Olha")</f>
        <v>Olha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</row>
    <row r="77">
      <c r="A77" s="5"/>
      <c r="B77" s="5" t="str">
        <f>IFERROR(__xludf.DUMMYFUNCTION("""COMPUTED_VALUE"""),"Triaz")</f>
        <v>Triaz</v>
      </c>
      <c r="C77" s="5"/>
      <c r="D77" s="5" t="str">
        <f>IFERROR(__xludf.DUMMYFUNCTION("""COMPUTED_VALUE"""),"Friday 4-5:30 Ages 7-13 23 ")</f>
        <v>Friday 4-5:30 Ages 7-13 23 </v>
      </c>
      <c r="E77" s="13">
        <f>IFERROR(__xludf.DUMMYFUNCTION("""COMPUTED_VALUE"""),46115.0)</f>
        <v>46115</v>
      </c>
      <c r="F77" s="13">
        <f>IFERROR(__xludf.DUMMYFUNCTION("""COMPUTED_VALUE"""),46206.0)</f>
        <v>46206</v>
      </c>
      <c r="G77" s="5">
        <f>IFERROR(__xludf.DUMMYFUNCTION("""COMPUTED_VALUE"""),13.0)</f>
        <v>13</v>
      </c>
      <c r="H77" s="15">
        <f>IFERROR(__xludf.DUMMYFUNCTION("""COMPUTED_VALUE"""),1.5)</f>
        <v>1.5</v>
      </c>
      <c r="I77" s="6">
        <f>IFERROR(__xludf.DUMMYFUNCTION("""COMPUTED_VALUE"""),36.0)</f>
        <v>36</v>
      </c>
      <c r="J77" s="5">
        <f>IFERROR(__xludf.DUMMYFUNCTION("""COMPUTED_VALUE"""),468.0)</f>
        <v>468</v>
      </c>
      <c r="K77" s="5"/>
      <c r="L77" s="5"/>
      <c r="M77" s="5">
        <f>IFERROR(__xludf.DUMMYFUNCTION("""COMPUTED_VALUE"""),10.0)</f>
        <v>10</v>
      </c>
      <c r="N77" s="5"/>
      <c r="O77" s="5" t="str">
        <f>IFERROR(__xludf.DUMMYFUNCTION("""COMPUTED_VALUE"""),"May 1, May 15")</f>
        <v>May 1, May 15</v>
      </c>
      <c r="P77" s="5"/>
      <c r="Q77" s="5" t="str">
        <f>IFERROR(__xludf.DUMMYFUNCTION("""COMPUTED_VALUE"""),"Ivan")</f>
        <v>Ivan</v>
      </c>
      <c r="R77" s="5"/>
      <c r="S77" s="5"/>
      <c r="T77" s="5"/>
      <c r="U77" s="5"/>
      <c r="V77" s="5"/>
      <c r="W77" s="5"/>
      <c r="X77" s="5"/>
      <c r="Y77" s="5"/>
      <c r="Z77" s="5"/>
      <c r="AA77" s="5">
        <f>IFERROR(__xludf.DUMMYFUNCTION("""COMPUTED_VALUE"""),0.0)</f>
        <v>0</v>
      </c>
      <c r="AB77" s="5">
        <f>IFERROR(__xludf.DUMMYFUNCTION("""COMPUTED_VALUE"""),0.0)</f>
        <v>0</v>
      </c>
      <c r="AC77" s="5">
        <f>IFERROR(__xludf.DUMMYFUNCTION("""COMPUTED_VALUE"""),0.0)</f>
        <v>0</v>
      </c>
      <c r="AD77" s="5">
        <f>IFERROR(__xludf.DUMMYFUNCTION("""COMPUTED_VALUE"""),0.0)</f>
        <v>0</v>
      </c>
      <c r="AE77" s="5"/>
      <c r="AF77" s="5"/>
      <c r="AG77" s="5"/>
      <c r="AH77" s="5"/>
      <c r="AI77" s="5"/>
      <c r="AJ77" s="5"/>
      <c r="AK77" s="5"/>
      <c r="AL77" s="5"/>
    </row>
    <row r="78">
      <c r="A78" s="5"/>
      <c r="B78" s="5" t="str">
        <f>IFERROR(__xludf.DUMMYFUNCTION("""COMPUTED_VALUE"""),"Saturday")</f>
        <v>Saturday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</row>
    <row r="79">
      <c r="A79" s="5"/>
      <c r="B79" s="5"/>
      <c r="C79" s="5"/>
      <c r="D79" s="5" t="str">
        <f>IFERROR(__xludf.DUMMYFUNCTION("""COMPUTED_VALUE"""),"Sat 10:15-11:00 ages 4-6")</f>
        <v>Sat 10:15-11:00 ages 4-6</v>
      </c>
      <c r="E79" s="13">
        <f>IFERROR(__xludf.DUMMYFUNCTION("""COMPUTED_VALUE"""),46123.0)</f>
        <v>46123</v>
      </c>
      <c r="F79" s="14">
        <f>IFERROR(__xludf.DUMMYFUNCTION("""COMPUTED_VALUE"""),46200.0)</f>
        <v>46200</v>
      </c>
      <c r="G79" s="5">
        <f>IFERROR(__xludf.DUMMYFUNCTION("""COMPUTED_VALUE"""),10.0)</f>
        <v>10</v>
      </c>
      <c r="H79" s="5">
        <f>IFERROR(__xludf.DUMMYFUNCTION("""COMPUTED_VALUE"""),0.75)</f>
        <v>0.75</v>
      </c>
      <c r="I79" s="5">
        <f>IFERROR(__xludf.DUMMYFUNCTION("""COMPUTED_VALUE"""),20.0)</f>
        <v>20</v>
      </c>
      <c r="J79" s="5">
        <f>IFERROR(__xludf.DUMMYFUNCTION("""COMPUTED_VALUE"""),200.0)</f>
        <v>200</v>
      </c>
      <c r="K79" s="5"/>
      <c r="L79" s="5"/>
      <c r="M79" s="5"/>
      <c r="N79" s="5"/>
      <c r="O79" s="5" t="str">
        <f>IFERROR(__xludf.DUMMYFUNCTION("""COMPUTED_VALUE"""),"Apr 25, May 23")</f>
        <v>Apr 25, May 23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</row>
    <row r="80">
      <c r="A80" s="5"/>
      <c r="B80" s="5" t="str">
        <f>IFERROR(__xludf.DUMMYFUNCTION("""COMPUTED_VALUE"""),"Sunday")</f>
        <v>Sunday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f>IFERROR(__xludf.DUMMYFUNCTION("""COMPUTED_VALUE"""),0.0)</f>
        <v>0</v>
      </c>
      <c r="AD80" s="5"/>
      <c r="AE80" s="5"/>
      <c r="AF80" s="5"/>
      <c r="AG80" s="5"/>
      <c r="AH80" s="5"/>
      <c r="AI80" s="5"/>
      <c r="AJ80" s="5"/>
      <c r="AK80" s="5"/>
      <c r="AL80" s="5"/>
    </row>
    <row r="81">
      <c r="A81" s="5" t="str">
        <f>IFERROR(__xludf.DUMMYFUNCTION("""COMPUTED_VALUE"""),"yes")</f>
        <v>yes</v>
      </c>
      <c r="B81" s="5" t="str">
        <f>IFERROR(__xludf.DUMMYFUNCTION("""COMPUTED_VALUE"""),"Triaz")</f>
        <v>Triaz</v>
      </c>
      <c r="C81" s="5"/>
      <c r="D81" s="5" t="str">
        <f>IFERROR(__xludf.DUMMYFUNCTION("""COMPUTED_VALUE"""),"Sunday 9:45-10:30 Ages 4-6 23")</f>
        <v>Sunday 9:45-10:30 Ages 4-6 23</v>
      </c>
      <c r="E81" s="13">
        <f>IFERROR(__xludf.DUMMYFUNCTION("""COMPUTED_VALUE"""),46124.0)</f>
        <v>46124</v>
      </c>
      <c r="F81" s="13">
        <f>IFERROR(__xludf.DUMMYFUNCTION("""COMPUTED_VALUE"""),46201.0)</f>
        <v>46201</v>
      </c>
      <c r="G81" s="5">
        <f>IFERROR(__xludf.DUMMYFUNCTION("""COMPUTED_VALUE"""),10.0)</f>
        <v>10</v>
      </c>
      <c r="H81" s="15">
        <f>IFERROR(__xludf.DUMMYFUNCTION("""COMPUTED_VALUE"""),0.75)</f>
        <v>0.75</v>
      </c>
      <c r="I81" s="6">
        <f>IFERROR(__xludf.DUMMYFUNCTION("""COMPUTED_VALUE"""),20.0)</f>
        <v>20</v>
      </c>
      <c r="J81" s="5">
        <f>IFERROR(__xludf.DUMMYFUNCTION("""COMPUTED_VALUE"""),200.0)</f>
        <v>200</v>
      </c>
      <c r="K81" s="5"/>
      <c r="L81" s="5">
        <f>IFERROR(__xludf.DUMMYFUNCTION("""COMPUTED_VALUE"""),12.0)</f>
        <v>12</v>
      </c>
      <c r="M81" s="5">
        <f>IFERROR(__xludf.DUMMYFUNCTION("""COMPUTED_VALUE"""),18.0)</f>
        <v>18</v>
      </c>
      <c r="N81" s="5"/>
      <c r="O81" s="5" t="str">
        <f>IFERROR(__xludf.DUMMYFUNCTION("""COMPUTED_VALUE"""),"Apr 26, May 24")</f>
        <v>Apr 26, May 24</v>
      </c>
      <c r="P81" s="5"/>
      <c r="Q81" s="5" t="str">
        <f>IFERROR(__xludf.DUMMYFUNCTION("""COMPUTED_VALUE"""),"Set ")</f>
        <v>Set </v>
      </c>
      <c r="R81" s="5" t="str">
        <f>IFERROR(__xludf.DUMMYFUNCTION("""COMPUTED_VALUE"""),"Banu")</f>
        <v>Banu</v>
      </c>
      <c r="S81" s="5"/>
      <c r="T81" s="5"/>
      <c r="U81" s="5"/>
      <c r="V81" s="5"/>
      <c r="W81" s="5">
        <f>IFERROR(__xludf.DUMMYFUNCTION("""COMPUTED_VALUE"""),39.75)</f>
        <v>39.75</v>
      </c>
      <c r="X81" s="5">
        <f>IFERROR(__xludf.DUMMYFUNCTION("""COMPUTED_VALUE"""),30.0)</f>
        <v>30</v>
      </c>
      <c r="Y81" s="5"/>
      <c r="Z81" s="5"/>
      <c r="AA81" s="5">
        <f>IFERROR(__xludf.DUMMYFUNCTION("""COMPUTED_VALUE"""),46.0)</f>
        <v>46</v>
      </c>
      <c r="AB81" s="5">
        <f>IFERROR(__xludf.DUMMYFUNCTION("""COMPUTED_VALUE"""),115.75)</f>
        <v>115.75</v>
      </c>
      <c r="AC81" s="5">
        <f>IFERROR(__xludf.DUMMYFUNCTION("""COMPUTED_VALUE"""),240.0)</f>
        <v>240</v>
      </c>
      <c r="AD81" s="5">
        <f>IFERROR(__xludf.DUMMYFUNCTION("""COMPUTED_VALUE"""),124.25)</f>
        <v>124.25</v>
      </c>
      <c r="AE81" s="5"/>
      <c r="AF81" s="5"/>
      <c r="AG81" s="5"/>
      <c r="AH81" s="5"/>
      <c r="AI81" s="5"/>
      <c r="AJ81" s="5"/>
      <c r="AK81" s="5"/>
      <c r="AL81" s="5"/>
    </row>
    <row r="82">
      <c r="A82" s="5" t="str">
        <f>IFERROR(__xludf.DUMMYFUNCTION("""COMPUTED_VALUE"""),"yes")</f>
        <v>yes</v>
      </c>
      <c r="B82" s="5" t="str">
        <f>IFERROR(__xludf.DUMMYFUNCTION("""COMPUTED_VALUE"""),"Triaz")</f>
        <v>Triaz</v>
      </c>
      <c r="C82" s="5"/>
      <c r="D82" s="5" t="str">
        <f>IFERROR(__xludf.DUMMYFUNCTION("""COMPUTED_VALUE"""),"Sunday 10:30-12 Ages 7-13  Beginner to High Performance divided by level")</f>
        <v>Sunday 10:30-12 Ages 7-13  Beginner to High Performance divided by level</v>
      </c>
      <c r="E82" s="13">
        <f>IFERROR(__xludf.DUMMYFUNCTION("""COMPUTED_VALUE"""),46124.0)</f>
        <v>46124</v>
      </c>
      <c r="F82" s="13">
        <f>IFERROR(__xludf.DUMMYFUNCTION("""COMPUTED_VALUE"""),46201.0)</f>
        <v>46201</v>
      </c>
      <c r="G82" s="5">
        <f>IFERROR(__xludf.DUMMYFUNCTION("""COMPUTED_VALUE"""),10.0)</f>
        <v>10</v>
      </c>
      <c r="H82" s="15">
        <f>IFERROR(__xludf.DUMMYFUNCTION("""COMPUTED_VALUE"""),1.5)</f>
        <v>1.5</v>
      </c>
      <c r="I82" s="6">
        <f>IFERROR(__xludf.DUMMYFUNCTION("""COMPUTED_VALUE"""),36.0)</f>
        <v>36</v>
      </c>
      <c r="J82" s="5">
        <f>IFERROR(__xludf.DUMMYFUNCTION("""COMPUTED_VALUE"""),360.0)</f>
        <v>360</v>
      </c>
      <c r="K82" s="5"/>
      <c r="L82" s="5">
        <f>IFERROR(__xludf.DUMMYFUNCTION("""COMPUTED_VALUE"""),14.0)</f>
        <v>14</v>
      </c>
      <c r="M82" s="5">
        <f>IFERROR(__xludf.DUMMYFUNCTION("""COMPUTED_VALUE"""),18.0)</f>
        <v>18</v>
      </c>
      <c r="N82" s="5"/>
      <c r="O82" s="5" t="str">
        <f>IFERROR(__xludf.DUMMYFUNCTION("""COMPUTED_VALUE"""),"Apr 26, May 24")</f>
        <v>Apr 26, May 24</v>
      </c>
      <c r="P82" s="5"/>
      <c r="Q82" s="5" t="str">
        <f>IFERROR(__xludf.DUMMYFUNCTION("""COMPUTED_VALUE"""),"Ramzi")</f>
        <v>Ramzi</v>
      </c>
      <c r="R82" s="5" t="str">
        <f>IFERROR(__xludf.DUMMYFUNCTION("""COMPUTED_VALUE"""),"Ivan")</f>
        <v>Ivan</v>
      </c>
      <c r="S82" s="5" t="str">
        <f>IFERROR(__xludf.DUMMYFUNCTION("""COMPUTED_VALUE"""),"Set")</f>
        <v>Set</v>
      </c>
      <c r="T82" s="5" t="str">
        <f>IFERROR(__xludf.DUMMYFUNCTION("""COMPUTED_VALUE"""),"Banu")</f>
        <v>Banu</v>
      </c>
      <c r="U82" s="5"/>
      <c r="V82" s="5"/>
      <c r="W82" s="5">
        <f>IFERROR(__xludf.DUMMYFUNCTION("""COMPUTED_VALUE"""),79.5)</f>
        <v>79.5</v>
      </c>
      <c r="X82" s="5">
        <f>IFERROR(__xludf.DUMMYFUNCTION("""COMPUTED_VALUE"""),60.0)</f>
        <v>60</v>
      </c>
      <c r="Y82" s="5">
        <f>IFERROR(__xludf.DUMMYFUNCTION("""COMPUTED_VALUE"""),75.0)</f>
        <v>75</v>
      </c>
      <c r="Z82" s="5"/>
      <c r="AA82" s="5">
        <f>IFERROR(__xludf.DUMMYFUNCTION("""COMPUTED_VALUE"""),69.0)</f>
        <v>69</v>
      </c>
      <c r="AB82" s="5">
        <f>IFERROR(__xludf.DUMMYFUNCTION("""COMPUTED_VALUE"""),283.5)</f>
        <v>283.5</v>
      </c>
      <c r="AC82" s="5">
        <f>IFERROR(__xludf.DUMMYFUNCTION("""COMPUTED_VALUE"""),504.0)</f>
        <v>504</v>
      </c>
      <c r="AD82" s="5">
        <f>IFERROR(__xludf.DUMMYFUNCTION("""COMPUTED_VALUE"""),220.5)</f>
        <v>220.5</v>
      </c>
      <c r="AE82" s="5"/>
      <c r="AF82" s="5"/>
      <c r="AG82" s="5"/>
      <c r="AH82" s="5"/>
      <c r="AI82" s="5"/>
      <c r="AJ82" s="5"/>
      <c r="AK82" s="5"/>
      <c r="AL82" s="5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</row>
    <row r="84">
      <c r="A84" s="5" t="str">
        <f>IFERROR(__xludf.DUMMYFUNCTION("""COMPUTED_VALUE"""),"SPRING 1")</f>
        <v>SPRING 1</v>
      </c>
      <c r="B84" s="5"/>
      <c r="C84" s="5" t="str">
        <f>IFERROR(__xludf.DUMMYFUNCTION("""COMPUTED_VALUE"""),"Adult")</f>
        <v>Adult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>
      <c r="A85" s="5" t="str">
        <f>IFERROR(__xludf.DUMMYFUNCTION("""COMPUTED_VALUE"""),"Cancelled")</f>
        <v>Cancelled</v>
      </c>
      <c r="B85" s="5"/>
      <c r="C85" s="5"/>
      <c r="D85" s="5" t="str">
        <f>IFERROR(__xludf.DUMMYFUNCTION("""COMPUTED_VALUE"""),"Monday 6:00-7:30 Beginner to Adv Beginner")</f>
        <v>Monday 6:00-7:30 Beginner to Adv Beginner</v>
      </c>
      <c r="E85" s="13">
        <f>IFERROR(__xludf.DUMMYFUNCTION("""COMPUTED_VALUE"""),46118.0)</f>
        <v>46118</v>
      </c>
      <c r="F85" s="14">
        <f>IFERROR(__xludf.DUMMYFUNCTION("""COMPUTED_VALUE"""),46160.0)</f>
        <v>46160</v>
      </c>
      <c r="G85" s="5">
        <f>IFERROR(__xludf.DUMMYFUNCTION("""COMPUTED_VALUE"""),6.0)</f>
        <v>6</v>
      </c>
      <c r="H85" s="15">
        <f>IFERROR(__xludf.DUMMYFUNCTION("""COMPUTED_VALUE"""),1.5)</f>
        <v>1.5</v>
      </c>
      <c r="I85" s="6">
        <f>IFERROR(__xludf.DUMMYFUNCTION("""COMPUTED_VALUE"""),36.0)</f>
        <v>36</v>
      </c>
      <c r="J85" s="5">
        <f>IFERROR(__xludf.DUMMYFUNCTION("""COMPUTED_VALUE"""),216.0)</f>
        <v>216</v>
      </c>
      <c r="K85" s="5"/>
      <c r="L85" s="5"/>
      <c r="M85" s="5">
        <f>IFERROR(__xludf.DUMMYFUNCTION("""COMPUTED_VALUE"""),12.0)</f>
        <v>12</v>
      </c>
      <c r="N85" s="5"/>
      <c r="O85" s="13">
        <f>IFERROR(__xludf.DUMMYFUNCTION("""COMPUTED_VALUE"""),46139.0)</f>
        <v>46139</v>
      </c>
      <c r="P85" s="5"/>
      <c r="Q85" s="5" t="str">
        <f>IFERROR(__xludf.DUMMYFUNCTION("""COMPUTED_VALUE"""),"Ramzi")</f>
        <v>Ramzi</v>
      </c>
      <c r="R85" s="5" t="str">
        <f>IFERROR(__xludf.DUMMYFUNCTION("""COMPUTED_VALUE"""),"Ivan")</f>
        <v>Ivan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>
      <c r="A86" s="5" t="str">
        <f>IFERROR(__xludf.DUMMYFUNCTION("""COMPUTED_VALUE"""),"Triaz")</f>
        <v>Triaz</v>
      </c>
      <c r="B86" s="5"/>
      <c r="C86" s="5"/>
      <c r="D86" s="5" t="str">
        <f>IFERROR(__xludf.DUMMYFUNCTION("""COMPUTED_VALUE"""),"Monday 7:30-9:00 Intermediate to Advanced")</f>
        <v>Monday 7:30-9:00 Intermediate to Advanced</v>
      </c>
      <c r="E86" s="13">
        <f>IFERROR(__xludf.DUMMYFUNCTION("""COMPUTED_VALUE"""),46118.0)</f>
        <v>46118</v>
      </c>
      <c r="F86" s="14">
        <f>IFERROR(__xludf.DUMMYFUNCTION("""COMPUTED_VALUE"""),46160.0)</f>
        <v>46160</v>
      </c>
      <c r="G86" s="5">
        <f>IFERROR(__xludf.DUMMYFUNCTION("""COMPUTED_VALUE"""),6.0)</f>
        <v>6</v>
      </c>
      <c r="H86" s="15">
        <f>IFERROR(__xludf.DUMMYFUNCTION("""COMPUTED_VALUE"""),1.5)</f>
        <v>1.5</v>
      </c>
      <c r="I86" s="6">
        <f>IFERROR(__xludf.DUMMYFUNCTION("""COMPUTED_VALUE"""),36.0)</f>
        <v>36</v>
      </c>
      <c r="J86" s="5">
        <f>IFERROR(__xludf.DUMMYFUNCTION("""COMPUTED_VALUE"""),216.0)</f>
        <v>216</v>
      </c>
      <c r="K86" s="5"/>
      <c r="L86" s="5"/>
      <c r="M86" s="5">
        <f>IFERROR(__xludf.DUMMYFUNCTION("""COMPUTED_VALUE"""),12.0)</f>
        <v>12</v>
      </c>
      <c r="N86" s="5"/>
      <c r="O86" s="13">
        <f>IFERROR(__xludf.DUMMYFUNCTION("""COMPUTED_VALUE"""),46139.0)</f>
        <v>46139</v>
      </c>
      <c r="P86" s="5"/>
      <c r="Q86" s="5" t="str">
        <f>IFERROR(__xludf.DUMMYFUNCTION("""COMPUTED_VALUE"""),"Ramzi")</f>
        <v>Ramzi</v>
      </c>
      <c r="R86" s="5" t="str">
        <f>IFERROR(__xludf.DUMMYFUNCTION("""COMPUTED_VALUE"""),"Ivan")</f>
        <v>Ivan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</row>
    <row r="88">
      <c r="A88" s="5" t="str">
        <f>IFERROR(__xludf.DUMMYFUNCTION("""COMPUTED_VALUE"""),"Triaz")</f>
        <v>Triaz</v>
      </c>
      <c r="B88" s="5"/>
      <c r="C88" s="5"/>
      <c r="D88" s="5" t="str">
        <f>IFERROR(__xludf.DUMMYFUNCTION("""COMPUTED_VALUE"""),"Tuesday Beginner-Intermediate 6:30-8:00")</f>
        <v>Tuesday Beginner-Intermediate 6:30-8:00</v>
      </c>
      <c r="E88" s="13">
        <f>IFERROR(__xludf.DUMMYFUNCTION("""COMPUTED_VALUE"""),46119.0)</f>
        <v>46119</v>
      </c>
      <c r="F88" s="14">
        <f>IFERROR(__xludf.DUMMYFUNCTION("""COMPUTED_VALUE"""),46161.0)</f>
        <v>46161</v>
      </c>
      <c r="G88" s="5">
        <f>IFERROR(__xludf.DUMMYFUNCTION("""COMPUTED_VALUE"""),7.0)</f>
        <v>7</v>
      </c>
      <c r="H88" s="15">
        <f>IFERROR(__xludf.DUMMYFUNCTION("""COMPUTED_VALUE"""),1.5)</f>
        <v>1.5</v>
      </c>
      <c r="I88" s="6">
        <f>IFERROR(__xludf.DUMMYFUNCTION("""COMPUTED_VALUE"""),36.0)</f>
        <v>36</v>
      </c>
      <c r="J88" s="5">
        <f>IFERROR(__xludf.DUMMYFUNCTION("""COMPUTED_VALUE"""),252.0)</f>
        <v>252</v>
      </c>
      <c r="K88" s="5"/>
      <c r="L88" s="5"/>
      <c r="M88" s="5">
        <f>IFERROR(__xludf.DUMMYFUNCTION("""COMPUTED_VALUE"""),12.0)</f>
        <v>12</v>
      </c>
      <c r="N88" s="5"/>
      <c r="O88" s="5" t="str">
        <f>IFERROR(__xludf.DUMMYFUNCTION("""COMPUTED_VALUE"""),"n/a")</f>
        <v>n/a</v>
      </c>
      <c r="P88" s="5"/>
      <c r="Q88" s="5" t="str">
        <f>IFERROR(__xludf.DUMMYFUNCTION("""COMPUTED_VALUE"""),"Ramzi")</f>
        <v>Ramzi</v>
      </c>
      <c r="R88" s="5" t="str">
        <f>IFERROR(__xludf.DUMMYFUNCTION("""COMPUTED_VALUE"""),"Ivan")</f>
        <v>Ivan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>
      <c r="A89" s="5" t="str">
        <f>IFERROR(__xludf.DUMMYFUNCTION("""COMPUTED_VALUE"""),"Triaz")</f>
        <v>Triaz</v>
      </c>
      <c r="B89" s="5"/>
      <c r="C89" s="5" t="str">
        <f>IFERROR(__xludf.DUMMYFUNCTION("""COMPUTED_VALUE"""),"Private Group")</f>
        <v>Private Group</v>
      </c>
      <c r="D89" s="5" t="str">
        <f>IFERROR(__xludf.DUMMYFUNCTION("""COMPUTED_VALUE"""),"Private Group Christa 8:00-9:00pm")</f>
        <v>Private Group Christa 8:00-9:00pm</v>
      </c>
      <c r="E89" s="13">
        <f>IFERROR(__xludf.DUMMYFUNCTION("""COMPUTED_VALUE"""),46119.0)</f>
        <v>46119</v>
      </c>
      <c r="F89" s="5" t="str">
        <f>IFERROR(__xludf.DUMMYFUNCTION("""COMPUTED_VALUE"""),"MY 19")</f>
        <v>MY 19</v>
      </c>
      <c r="G89" s="5">
        <f>IFERROR(__xludf.DUMMYFUNCTION("""COMPUTED_VALUE"""),7.0)</f>
        <v>7</v>
      </c>
      <c r="H89" s="5">
        <f>IFERROR(__xludf.DUMMYFUNCTION("""COMPUTED_VALUE"""),1.0)</f>
        <v>1</v>
      </c>
      <c r="I89" s="5">
        <f>IFERROR(__xludf.DUMMYFUNCTION("""COMPUTED_VALUE"""),28.0)</f>
        <v>28</v>
      </c>
      <c r="J89" s="5">
        <f>IFERROR(__xludf.DUMMYFUNCTION("""COMPUTED_VALUE"""),196.0)</f>
        <v>196</v>
      </c>
      <c r="K89" s="5"/>
      <c r="L89" s="5"/>
      <c r="M89" s="5"/>
      <c r="N89" s="5"/>
      <c r="O89" s="5" t="str">
        <f>IFERROR(__xludf.DUMMYFUNCTION("""COMPUTED_VALUE"""),"n/a")</f>
        <v>n/a</v>
      </c>
      <c r="P89" s="5"/>
      <c r="Q89" s="5" t="str">
        <f>IFERROR(__xludf.DUMMYFUNCTION("""COMPUTED_VALUE"""),"Noah")</f>
        <v>Noah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</row>
    <row r="91">
      <c r="A91" s="5" t="str">
        <f>IFERROR(__xludf.DUMMYFUNCTION("""COMPUTED_VALUE"""),"Triaz")</f>
        <v>Triaz</v>
      </c>
      <c r="B91" s="5"/>
      <c r="C91" s="5"/>
      <c r="D91" s="5" t="str">
        <f>IFERROR(__xludf.DUMMYFUNCTION("""COMPUTED_VALUE"""),"Wednesday 10:00-11:30 Adv Beginner to Low Intermediate")</f>
        <v>Wednesday 10:00-11:30 Adv Beginner to Low Intermediate</v>
      </c>
      <c r="E91" s="13">
        <f>IFERROR(__xludf.DUMMYFUNCTION("""COMPUTED_VALUE"""),46113.0)</f>
        <v>46113</v>
      </c>
      <c r="F91" s="14">
        <f>IFERROR(__xludf.DUMMYFUNCTION("""COMPUTED_VALUE"""),46162.0)</f>
        <v>46162</v>
      </c>
      <c r="G91" s="5">
        <f>IFERROR(__xludf.DUMMYFUNCTION("""COMPUTED_VALUE"""),7.0)</f>
        <v>7</v>
      </c>
      <c r="H91" s="15">
        <f>IFERROR(__xludf.DUMMYFUNCTION("""COMPUTED_VALUE"""),1.5)</f>
        <v>1.5</v>
      </c>
      <c r="I91" s="6">
        <f>IFERROR(__xludf.DUMMYFUNCTION("""COMPUTED_VALUE"""),36.0)</f>
        <v>36</v>
      </c>
      <c r="J91" s="5">
        <f>IFERROR(__xludf.DUMMYFUNCTION("""COMPUTED_VALUE"""),252.0)</f>
        <v>252</v>
      </c>
      <c r="K91" s="5"/>
      <c r="L91" s="5"/>
      <c r="M91" s="5">
        <f>IFERROR(__xludf.DUMMYFUNCTION("""COMPUTED_VALUE"""),6.0)</f>
        <v>6</v>
      </c>
      <c r="N91" s="5"/>
      <c r="O91" s="13">
        <f>IFERROR(__xludf.DUMMYFUNCTION("""COMPUTED_VALUE"""),46141.0)</f>
        <v>46141</v>
      </c>
      <c r="P91" s="5"/>
      <c r="Q91" s="5" t="str">
        <f>IFERROR(__xludf.DUMMYFUNCTION("""COMPUTED_VALUE"""),"Ramzi")</f>
        <v>Ramzi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</row>
    <row r="92">
      <c r="A92" s="5" t="str">
        <f>IFERROR(__xludf.DUMMYFUNCTION("""COMPUTED_VALUE"""),"Triaz")</f>
        <v>Triaz</v>
      </c>
      <c r="B92" s="5"/>
      <c r="C92" s="5"/>
      <c r="D92" s="5" t="str">
        <f>IFERROR(__xludf.DUMMYFUNCTION("""COMPUTED_VALUE"""),"Weds 6:30-8:00 Beginner to Intermediate")</f>
        <v>Weds 6:30-8:00 Beginner to Intermediate</v>
      </c>
      <c r="E92" s="13">
        <f>IFERROR(__xludf.DUMMYFUNCTION("""COMPUTED_VALUE"""),46113.0)</f>
        <v>46113</v>
      </c>
      <c r="F92" s="14">
        <f>IFERROR(__xludf.DUMMYFUNCTION("""COMPUTED_VALUE"""),46162.0)</f>
        <v>46162</v>
      </c>
      <c r="G92" s="5">
        <f>IFERROR(__xludf.DUMMYFUNCTION("""COMPUTED_VALUE"""),8.0)</f>
        <v>8</v>
      </c>
      <c r="H92" s="15">
        <f>IFERROR(__xludf.DUMMYFUNCTION("""COMPUTED_VALUE"""),1.5)</f>
        <v>1.5</v>
      </c>
      <c r="I92" s="6">
        <f>IFERROR(__xludf.DUMMYFUNCTION("""COMPUTED_VALUE"""),36.0)</f>
        <v>36</v>
      </c>
      <c r="J92" s="5">
        <f>IFERROR(__xludf.DUMMYFUNCTION("""COMPUTED_VALUE"""),288.0)</f>
        <v>288</v>
      </c>
      <c r="K92" s="5"/>
      <c r="L92" s="5"/>
      <c r="M92" s="5">
        <f>IFERROR(__xludf.DUMMYFUNCTION("""COMPUTED_VALUE"""),12.0)</f>
        <v>12</v>
      </c>
      <c r="N92" s="5"/>
      <c r="O92" s="5" t="str">
        <f>IFERROR(__xludf.DUMMYFUNCTION("""COMPUTED_VALUE"""),"n/a")</f>
        <v>n/a</v>
      </c>
      <c r="P92" s="5"/>
      <c r="Q92" s="5" t="str">
        <f>IFERROR(__xludf.DUMMYFUNCTION("""COMPUTED_VALUE"""),"Ramzi")</f>
        <v>Ramzi</v>
      </c>
      <c r="R92" s="5" t="str">
        <f>IFERROR(__xludf.DUMMYFUNCTION("""COMPUTED_VALUE"""),"Ivan")</f>
        <v>Ivan</v>
      </c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>
      <c r="A94" s="5" t="str">
        <f>IFERROR(__xludf.DUMMYFUNCTION("""COMPUTED_VALUE"""),"Randwijck")</f>
        <v>Randwijck</v>
      </c>
      <c r="B94" s="5"/>
      <c r="C94" s="5"/>
      <c r="D94" s="5" t="str">
        <f>IFERROR(__xludf.DUMMYFUNCTION("""COMPUTED_VALUE"""),"Thursday 6:30-8 Beginner to Advanced. Beginner")</f>
        <v>Thursday 6:30-8 Beginner to Advanced. Beginner</v>
      </c>
      <c r="E94" s="14">
        <f>IFERROR(__xludf.DUMMYFUNCTION("""COMPUTED_VALUE"""),46114.0)</f>
        <v>46114</v>
      </c>
      <c r="F94" s="14">
        <f>IFERROR(__xludf.DUMMYFUNCTION("""COMPUTED_VALUE"""),46163.0)</f>
        <v>46163</v>
      </c>
      <c r="G94" s="5">
        <f>IFERROR(__xludf.DUMMYFUNCTION("""COMPUTED_VALUE"""),7.0)</f>
        <v>7</v>
      </c>
      <c r="H94" s="15">
        <f>IFERROR(__xludf.DUMMYFUNCTION("""COMPUTED_VALUE"""),1.5)</f>
        <v>1.5</v>
      </c>
      <c r="I94" s="6">
        <f>IFERROR(__xludf.DUMMYFUNCTION("""COMPUTED_VALUE"""),36.0)</f>
        <v>36</v>
      </c>
      <c r="J94" s="5">
        <f>IFERROR(__xludf.DUMMYFUNCTION("""COMPUTED_VALUE"""),252.0)</f>
        <v>252</v>
      </c>
      <c r="K94" s="5">
        <f>IFERROR(__xludf.DUMMYFUNCTION("""COMPUTED_VALUE"""),287.0)</f>
        <v>287</v>
      </c>
      <c r="L94" s="5"/>
      <c r="M94" s="5">
        <f>IFERROR(__xludf.DUMMYFUNCTION("""COMPUTED_VALUE"""),12.0)</f>
        <v>12</v>
      </c>
      <c r="N94" s="5"/>
      <c r="O94" s="14">
        <f>IFERROR(__xludf.DUMMYFUNCTION("""COMPUTED_VALUE"""),46156.0)</f>
        <v>46156</v>
      </c>
      <c r="P94" s="5"/>
      <c r="Q94" s="5" t="str">
        <f>IFERROR(__xludf.DUMMYFUNCTION("""COMPUTED_VALUE"""),"Noah")</f>
        <v>Noah</v>
      </c>
      <c r="R94" s="5" t="str">
        <f>IFERROR(__xludf.DUMMYFUNCTION("""COMPUTED_VALUE"""),"Ivan")</f>
        <v>Ivan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</row>
    <row r="96">
      <c r="A96" s="5" t="str">
        <f>IFERROR(__xludf.DUMMYFUNCTION("""COMPUTED_VALUE"""),"Randwijck")</f>
        <v>Randwijck</v>
      </c>
      <c r="B96" s="5"/>
      <c r="C96" s="5"/>
      <c r="D96" s="5" t="str">
        <f>IFERROR(__xludf.DUMMYFUNCTION("""COMPUTED_VALUE"""),"Friday 10-11:30 Low Intermediate to Intermediate")</f>
        <v>Friday 10-11:30 Low Intermediate to Intermediate</v>
      </c>
      <c r="E96" s="13">
        <f>IFERROR(__xludf.DUMMYFUNCTION("""COMPUTED_VALUE"""),46115.0)</f>
        <v>46115</v>
      </c>
      <c r="F96" s="14">
        <f>IFERROR(__xludf.DUMMYFUNCTION("""COMPUTED_VALUE"""),46164.0)</f>
        <v>46164</v>
      </c>
      <c r="G96" s="5">
        <f>IFERROR(__xludf.DUMMYFUNCTION("""COMPUTED_VALUE"""),6.0)</f>
        <v>6</v>
      </c>
      <c r="H96" s="15">
        <f>IFERROR(__xludf.DUMMYFUNCTION("""COMPUTED_VALUE"""),1.5)</f>
        <v>1.5</v>
      </c>
      <c r="I96" s="6">
        <f>IFERROR(__xludf.DUMMYFUNCTION("""COMPUTED_VALUE"""),36.0)</f>
        <v>36</v>
      </c>
      <c r="J96" s="5">
        <f>IFERROR(__xludf.DUMMYFUNCTION("""COMPUTED_VALUE"""),216.0)</f>
        <v>216</v>
      </c>
      <c r="K96" s="5">
        <f>IFERROR(__xludf.DUMMYFUNCTION("""COMPUTED_VALUE"""),246.0)</f>
        <v>246</v>
      </c>
      <c r="L96" s="5"/>
      <c r="M96" s="5">
        <f>IFERROR(__xludf.DUMMYFUNCTION("""COMPUTED_VALUE"""),6.0)</f>
        <v>6</v>
      </c>
      <c r="N96" s="5"/>
      <c r="O96" s="5" t="str">
        <f>IFERROR(__xludf.DUMMYFUNCTION("""COMPUTED_VALUE"""),"May 1, May 15")</f>
        <v>May 1, May 15</v>
      </c>
      <c r="P96" s="5"/>
      <c r="Q96" s="5" t="str">
        <f>IFERROR(__xludf.DUMMYFUNCTION("""COMPUTED_VALUE"""),"Ramzi")</f>
        <v>Ramzi</v>
      </c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</row>
    <row r="97">
      <c r="A97" s="5" t="str">
        <f>IFERROR(__xludf.DUMMYFUNCTION("""COMPUTED_VALUE"""),"Randwijck")</f>
        <v>Randwijck</v>
      </c>
      <c r="B97" s="5"/>
      <c r="C97" s="5"/>
      <c r="D97" s="5" t="str">
        <f>IFERROR(__xludf.DUMMYFUNCTION("""COMPUTED_VALUE"""),"Friday 10-11:30 Beginner to Adv Beginner")</f>
        <v>Friday 10-11:30 Beginner to Adv Beginner</v>
      </c>
      <c r="E97" s="13">
        <f>IFERROR(__xludf.DUMMYFUNCTION("""COMPUTED_VALUE"""),46115.0)</f>
        <v>46115</v>
      </c>
      <c r="F97" s="14">
        <f>IFERROR(__xludf.DUMMYFUNCTION("""COMPUTED_VALUE"""),46164.0)</f>
        <v>46164</v>
      </c>
      <c r="G97" s="5">
        <f>IFERROR(__xludf.DUMMYFUNCTION("""COMPUTED_VALUE"""),6.0)</f>
        <v>6</v>
      </c>
      <c r="H97" s="15">
        <f>IFERROR(__xludf.DUMMYFUNCTION("""COMPUTED_VALUE"""),1.5)</f>
        <v>1.5</v>
      </c>
      <c r="I97" s="6">
        <f>IFERROR(__xludf.DUMMYFUNCTION("""COMPUTED_VALUE"""),36.0)</f>
        <v>36</v>
      </c>
      <c r="J97" s="5">
        <f>IFERROR(__xludf.DUMMYFUNCTION("""COMPUTED_VALUE"""),216.0)</f>
        <v>216</v>
      </c>
      <c r="K97" s="5">
        <f>IFERROR(__xludf.DUMMYFUNCTION("""COMPUTED_VALUE"""),246.0)</f>
        <v>246</v>
      </c>
      <c r="L97" s="5"/>
      <c r="M97" s="5">
        <f>IFERROR(__xludf.DUMMYFUNCTION("""COMPUTED_VALUE"""),6.0)</f>
        <v>6</v>
      </c>
      <c r="N97" s="5"/>
      <c r="O97" s="5" t="str">
        <f>IFERROR(__xludf.DUMMYFUNCTION("""COMPUTED_VALUE"""),"May 1, May 15")</f>
        <v>May 1, May 15</v>
      </c>
      <c r="P97" s="5"/>
      <c r="Q97" s="5" t="str">
        <f>IFERROR(__xludf.DUMMYFUNCTION("""COMPUTED_VALUE"""),"Noah")</f>
        <v>Noah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</row>
    <row r="99">
      <c r="A99" s="5" t="str">
        <f>IFERROR(__xludf.DUMMYFUNCTION("""COMPUTED_VALUE"""),"Randwijck")</f>
        <v>Randwijck</v>
      </c>
      <c r="B99" s="5"/>
      <c r="C99" s="5"/>
      <c r="D99" s="5" t="str">
        <f>IFERROR(__xludf.DUMMYFUNCTION("""COMPUTED_VALUE"""),"Saturday 9:30-11:00 Beginner")</f>
        <v>Saturday 9:30-11:00 Beginner</v>
      </c>
      <c r="E99" s="13">
        <f>IFERROR(__xludf.DUMMYFUNCTION("""COMPUTED_VALUE"""),46130.0)</f>
        <v>46130</v>
      </c>
      <c r="F99" s="14">
        <f>IFERROR(__xludf.DUMMYFUNCTION("""COMPUTED_VALUE"""),46158.0)</f>
        <v>46158</v>
      </c>
      <c r="G99" s="5">
        <f>IFERROR(__xludf.DUMMYFUNCTION("""COMPUTED_VALUE"""),5.0)</f>
        <v>5</v>
      </c>
      <c r="H99" s="15">
        <f>IFERROR(__xludf.DUMMYFUNCTION("""COMPUTED_VALUE"""),1.5)</f>
        <v>1.5</v>
      </c>
      <c r="I99" s="6">
        <f>IFERROR(__xludf.DUMMYFUNCTION("""COMPUTED_VALUE"""),36.0)</f>
        <v>36</v>
      </c>
      <c r="J99" s="5">
        <f>IFERROR(__xludf.DUMMYFUNCTION("""COMPUTED_VALUE"""),180.0)</f>
        <v>180</v>
      </c>
      <c r="K99" s="5">
        <f>IFERROR(__xludf.DUMMYFUNCTION("""COMPUTED_VALUE"""),205.0)</f>
        <v>205</v>
      </c>
      <c r="L99" s="5"/>
      <c r="M99" s="5">
        <f>IFERROR(__xludf.DUMMYFUNCTION("""COMPUTED_VALUE"""),12.0)</f>
        <v>12</v>
      </c>
      <c r="N99" s="5"/>
      <c r="O99" s="5" t="str">
        <f>IFERROR(__xludf.DUMMYFUNCTION("""COMPUTED_VALUE"""),"n/a")</f>
        <v>n/a</v>
      </c>
      <c r="P99" s="5"/>
      <c r="Q99" s="5" t="str">
        <f>IFERROR(__xludf.DUMMYFUNCTION("""COMPUTED_VALUE"""),"Noah")</f>
        <v>Noah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</row>
    <row r="100">
      <c r="A100" s="5" t="str">
        <f>IFERROR(__xludf.DUMMYFUNCTION("""COMPUTED_VALUE"""),"Randwijck")</f>
        <v>Randwijck</v>
      </c>
      <c r="B100" s="5"/>
      <c r="C100" s="5"/>
      <c r="D100" s="5" t="str">
        <f>IFERROR(__xludf.DUMMYFUNCTION("""COMPUTED_VALUE"""),"Saturday 11-12:30 Adv. Beginner to Low Intermediate")</f>
        <v>Saturday 11-12:30 Adv. Beginner to Low Intermediate</v>
      </c>
      <c r="E100" s="13">
        <f>IFERROR(__xludf.DUMMYFUNCTION("""COMPUTED_VALUE"""),46130.0)</f>
        <v>46130</v>
      </c>
      <c r="F100" s="14">
        <f>IFERROR(__xludf.DUMMYFUNCTION("""COMPUTED_VALUE"""),46158.0)</f>
        <v>46158</v>
      </c>
      <c r="G100" s="5">
        <f>IFERROR(__xludf.DUMMYFUNCTION("""COMPUTED_VALUE"""),5.0)</f>
        <v>5</v>
      </c>
      <c r="H100" s="15">
        <f>IFERROR(__xludf.DUMMYFUNCTION("""COMPUTED_VALUE"""),1.5)</f>
        <v>1.5</v>
      </c>
      <c r="I100" s="6">
        <f>IFERROR(__xludf.DUMMYFUNCTION("""COMPUTED_VALUE"""),36.0)</f>
        <v>36</v>
      </c>
      <c r="J100" s="5">
        <f>IFERROR(__xludf.DUMMYFUNCTION("""COMPUTED_VALUE"""),180.0)</f>
        <v>180</v>
      </c>
      <c r="K100" s="5">
        <f>IFERROR(__xludf.DUMMYFUNCTION("""COMPUTED_VALUE"""),205.0)</f>
        <v>205</v>
      </c>
      <c r="L100" s="5"/>
      <c r="M100" s="5">
        <f>IFERROR(__xludf.DUMMYFUNCTION("""COMPUTED_VALUE"""),12.0)</f>
        <v>12</v>
      </c>
      <c r="N100" s="5"/>
      <c r="O100" s="5" t="str">
        <f>IFERROR(__xludf.DUMMYFUNCTION("""COMPUTED_VALUE"""),"n/a")</f>
        <v>n/a</v>
      </c>
      <c r="P100" s="5"/>
      <c r="Q100" s="5" t="str">
        <f>IFERROR(__xludf.DUMMYFUNCTION("""COMPUTED_VALUE"""),"Noah")</f>
        <v>Noah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</row>
    <row r="101">
      <c r="A101" s="5" t="str">
        <f>IFERROR(__xludf.DUMMYFUNCTION("""COMPUTED_VALUE"""),"Triaz")</f>
        <v>Triaz</v>
      </c>
      <c r="B101" s="5"/>
      <c r="C101" s="5"/>
      <c r="D101" s="5" t="str">
        <f>IFERROR(__xludf.DUMMYFUNCTION("""COMPUTED_VALUE"""),"Saturday 11-12:30 Adv. Beginner to Low Intermediate")</f>
        <v>Saturday 11-12:30 Adv. Beginner to Low Intermediate</v>
      </c>
      <c r="E101" s="13">
        <f>IFERROR(__xludf.DUMMYFUNCTION("""COMPUTED_VALUE"""),46130.0)</f>
        <v>46130</v>
      </c>
      <c r="F101" s="14">
        <f>IFERROR(__xludf.DUMMYFUNCTION("""COMPUTED_VALUE"""),46158.0)</f>
        <v>46158</v>
      </c>
      <c r="G101" s="5">
        <f>IFERROR(__xludf.DUMMYFUNCTION("""COMPUTED_VALUE"""),5.0)</f>
        <v>5</v>
      </c>
      <c r="H101" s="15">
        <f>IFERROR(__xludf.DUMMYFUNCTION("""COMPUTED_VALUE"""),1.5)</f>
        <v>1.5</v>
      </c>
      <c r="I101" s="6">
        <f>IFERROR(__xludf.DUMMYFUNCTION("""COMPUTED_VALUE"""),36.0)</f>
        <v>36</v>
      </c>
      <c r="J101" s="5">
        <f>IFERROR(__xludf.DUMMYFUNCTION("""COMPUTED_VALUE"""),180.0)</f>
        <v>180</v>
      </c>
      <c r="K101" s="5"/>
      <c r="L101" s="5"/>
      <c r="M101" s="5">
        <f>IFERROR(__xludf.DUMMYFUNCTION("""COMPUTED_VALUE"""),12.0)</f>
        <v>12</v>
      </c>
      <c r="N101" s="5"/>
      <c r="O101" s="5" t="str">
        <f>IFERROR(__xludf.DUMMYFUNCTION("""COMPUTED_VALUE"""),"n/a")</f>
        <v>n/a</v>
      </c>
      <c r="P101" s="5"/>
      <c r="Q101" s="5" t="str">
        <f>IFERROR(__xludf.DUMMYFUNCTION("""COMPUTED_VALUE"""),"Noah")</f>
        <v>Noah</v>
      </c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</row>
    <row r="103">
      <c r="A103" s="17" t="str">
        <f>IFERROR(__xludf.DUMMYFUNCTION("""COMPUTED_VALUE"""),"Triaz")</f>
        <v>Triaz</v>
      </c>
      <c r="B103" s="17"/>
      <c r="C103" s="17"/>
      <c r="D103" s="17" t="str">
        <f>IFERROR(__xludf.DUMMYFUNCTION("""COMPUTED_VALUE"""),"Sunday 12-1:30 Adv. Beginner to Advanced")</f>
        <v>Sunday 12-1:30 Adv. Beginner to Advanced</v>
      </c>
      <c r="E103" s="19">
        <f>IFERROR(__xludf.DUMMYFUNCTION("""COMPUTED_VALUE"""),46124.0)</f>
        <v>46124</v>
      </c>
      <c r="F103" s="20">
        <f>IFERROR(__xludf.DUMMYFUNCTION("""COMPUTED_VALUE"""),46159.0)</f>
        <v>46159</v>
      </c>
      <c r="G103" s="17">
        <f>IFERROR(__xludf.DUMMYFUNCTION("""COMPUTED_VALUE"""),6.0)</f>
        <v>6</v>
      </c>
      <c r="H103" s="21">
        <f>IFERROR(__xludf.DUMMYFUNCTION("""COMPUTED_VALUE"""),1.5)</f>
        <v>1.5</v>
      </c>
      <c r="I103" s="22">
        <f>IFERROR(__xludf.DUMMYFUNCTION("""COMPUTED_VALUE"""),36.0)</f>
        <v>36</v>
      </c>
      <c r="J103" s="17">
        <f>IFERROR(__xludf.DUMMYFUNCTION("""COMPUTED_VALUE"""),216.0)</f>
        <v>216</v>
      </c>
      <c r="K103" s="17"/>
      <c r="L103" s="17"/>
      <c r="M103" s="17">
        <f>IFERROR(__xludf.DUMMYFUNCTION("""COMPUTED_VALUE"""),18.0)</f>
        <v>18</v>
      </c>
      <c r="N103" s="17"/>
      <c r="O103" s="19">
        <f>IFERROR(__xludf.DUMMYFUNCTION("""COMPUTED_VALUE"""),46117.0)</f>
        <v>46117</v>
      </c>
      <c r="P103" s="17"/>
      <c r="Q103" s="17" t="str">
        <f>IFERROR(__xludf.DUMMYFUNCTION("""COMPUTED_VALUE"""),"Ramzi")</f>
        <v>Ramzi</v>
      </c>
      <c r="R103" s="17" t="str">
        <f>IFERROR(__xludf.DUMMYFUNCTION("""COMPUTED_VALUE"""),"Ivan")</f>
        <v>Ivan</v>
      </c>
      <c r="S103" s="17" t="str">
        <f>IFERROR(__xludf.DUMMYFUNCTION("""COMPUTED_VALUE"""),"Banu")</f>
        <v>Banu</v>
      </c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</row>
    <row r="104">
      <c r="A104" s="5" t="str">
        <f>IFERROR(__xludf.DUMMYFUNCTION("""COMPUTED_VALUE"""),"SPRING 2")</f>
        <v>SPRING 2</v>
      </c>
      <c r="B104" s="5"/>
      <c r="C104" s="5" t="str">
        <f>IFERROR(__xludf.DUMMYFUNCTION("""COMPUTED_VALUE"""),"Adult")</f>
        <v>Adult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</row>
    <row r="105">
      <c r="A105" s="5" t="str">
        <f>IFERROR(__xludf.DUMMYFUNCTION("""COMPUTED_VALUE"""),"Cancelled")</f>
        <v>Cancelled</v>
      </c>
      <c r="B105" s="5"/>
      <c r="C105" s="5"/>
      <c r="D105" s="5" t="str">
        <f>IFERROR(__xludf.DUMMYFUNCTION("""COMPUTED_VALUE"""),"Monday 6:00-7:30 Beginner to Adv Beginner")</f>
        <v>Monday 6:00-7:30 Beginner to Adv Beginner</v>
      </c>
      <c r="E105" s="13">
        <f>IFERROR(__xludf.DUMMYFUNCTION("""COMPUTED_VALUE"""),46174.0)</f>
        <v>46174</v>
      </c>
      <c r="F105" s="14">
        <f>IFERROR(__xludf.DUMMYFUNCTION("""COMPUTED_VALUE"""),46202.0)</f>
        <v>46202</v>
      </c>
      <c r="G105" s="5">
        <f>IFERROR(__xludf.DUMMYFUNCTION("""COMPUTED_VALUE"""),5.0)</f>
        <v>5</v>
      </c>
      <c r="H105" s="15">
        <f>IFERROR(__xludf.DUMMYFUNCTION("""COMPUTED_VALUE"""),1.5)</f>
        <v>1.5</v>
      </c>
      <c r="I105" s="6">
        <f>IFERROR(__xludf.DUMMYFUNCTION("""COMPUTED_VALUE"""),36.0)</f>
        <v>36</v>
      </c>
      <c r="J105" s="5">
        <f>IFERROR(__xludf.DUMMYFUNCTION("""COMPUTED_VALUE"""),180.0)</f>
        <v>180</v>
      </c>
      <c r="K105" s="5"/>
      <c r="L105" s="5"/>
      <c r="M105" s="5">
        <f>IFERROR(__xludf.DUMMYFUNCTION("""COMPUTED_VALUE"""),12.0)</f>
        <v>12</v>
      </c>
      <c r="N105" s="5"/>
      <c r="O105" s="14">
        <f>IFERROR(__xludf.DUMMYFUNCTION("""COMPUTED_VALUE"""),46167.0)</f>
        <v>46167</v>
      </c>
      <c r="P105" s="5"/>
      <c r="Q105" s="5" t="str">
        <f>IFERROR(__xludf.DUMMYFUNCTION("""COMPUTED_VALUE"""),"Ramzi")</f>
        <v>Ramzi</v>
      </c>
      <c r="R105" s="5" t="str">
        <f>IFERROR(__xludf.DUMMYFUNCTION("""COMPUTED_VALUE"""),"Ivan")</f>
        <v>Ivan</v>
      </c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</row>
    <row r="106">
      <c r="A106" s="5" t="str">
        <f>IFERROR(__xludf.DUMMYFUNCTION("""COMPUTED_VALUE"""),"Triaz")</f>
        <v>Triaz</v>
      </c>
      <c r="B106" s="5"/>
      <c r="C106" s="5"/>
      <c r="D106" s="5" t="str">
        <f>IFERROR(__xludf.DUMMYFUNCTION("""COMPUTED_VALUE"""),"Monday 7:30-9:00 Intermediate to Advanced")</f>
        <v>Monday 7:30-9:00 Intermediate to Advanced</v>
      </c>
      <c r="E106" s="13">
        <f>IFERROR(__xludf.DUMMYFUNCTION("""COMPUTED_VALUE"""),46174.0)</f>
        <v>46174</v>
      </c>
      <c r="F106" s="14">
        <f>IFERROR(__xludf.DUMMYFUNCTION("""COMPUTED_VALUE"""),46202.0)</f>
        <v>46202</v>
      </c>
      <c r="G106" s="5">
        <f>IFERROR(__xludf.DUMMYFUNCTION("""COMPUTED_VALUE"""),5.0)</f>
        <v>5</v>
      </c>
      <c r="H106" s="15">
        <f>IFERROR(__xludf.DUMMYFUNCTION("""COMPUTED_VALUE"""),1.5)</f>
        <v>1.5</v>
      </c>
      <c r="I106" s="6">
        <f>IFERROR(__xludf.DUMMYFUNCTION("""COMPUTED_VALUE"""),36.0)</f>
        <v>36</v>
      </c>
      <c r="J106" s="5">
        <f>IFERROR(__xludf.DUMMYFUNCTION("""COMPUTED_VALUE"""),180.0)</f>
        <v>180</v>
      </c>
      <c r="K106" s="5"/>
      <c r="L106" s="5"/>
      <c r="M106" s="5">
        <f>IFERROR(__xludf.DUMMYFUNCTION("""COMPUTED_VALUE"""),12.0)</f>
        <v>12</v>
      </c>
      <c r="N106" s="5"/>
      <c r="O106" s="14">
        <f>IFERROR(__xludf.DUMMYFUNCTION("""COMPUTED_VALUE"""),46167.0)</f>
        <v>46167</v>
      </c>
      <c r="P106" s="5"/>
      <c r="Q106" s="5" t="str">
        <f>IFERROR(__xludf.DUMMYFUNCTION("""COMPUTED_VALUE"""),"Ramzi")</f>
        <v>Ramzi</v>
      </c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</row>
    <row r="108">
      <c r="A108" s="5" t="str">
        <f>IFERROR(__xludf.DUMMYFUNCTION("""COMPUTED_VALUE"""),"Triaz")</f>
        <v>Triaz</v>
      </c>
      <c r="B108" s="5"/>
      <c r="C108" s="5"/>
      <c r="D108" s="5" t="str">
        <f>IFERROR(__xludf.DUMMYFUNCTION("""COMPUTED_VALUE"""),"Tuesday Beginner-Intermediate 6:30-8:00")</f>
        <v>Tuesday Beginner-Intermediate 6:30-8:00</v>
      </c>
      <c r="E108" s="13">
        <f>IFERROR(__xludf.DUMMYFUNCTION("""COMPUTED_VALUE"""),46168.0)</f>
        <v>46168</v>
      </c>
      <c r="F108" s="14">
        <f>IFERROR(__xludf.DUMMYFUNCTION("""COMPUTED_VALUE"""),46203.0)</f>
        <v>46203</v>
      </c>
      <c r="G108" s="5">
        <f>IFERROR(__xludf.DUMMYFUNCTION("""COMPUTED_VALUE"""),6.0)</f>
        <v>6</v>
      </c>
      <c r="H108" s="15">
        <f>IFERROR(__xludf.DUMMYFUNCTION("""COMPUTED_VALUE"""),1.5)</f>
        <v>1.5</v>
      </c>
      <c r="I108" s="6">
        <f>IFERROR(__xludf.DUMMYFUNCTION("""COMPUTED_VALUE"""),36.0)</f>
        <v>36</v>
      </c>
      <c r="J108" s="5">
        <f>IFERROR(__xludf.DUMMYFUNCTION("""COMPUTED_VALUE"""),216.0)</f>
        <v>216</v>
      </c>
      <c r="K108" s="5"/>
      <c r="L108" s="5"/>
      <c r="M108" s="5">
        <f>IFERROR(__xludf.DUMMYFUNCTION("""COMPUTED_VALUE"""),12.0)</f>
        <v>12</v>
      </c>
      <c r="N108" s="5"/>
      <c r="O108" s="5" t="str">
        <f>IFERROR(__xludf.DUMMYFUNCTION("""COMPUTED_VALUE"""),"n/a")</f>
        <v>n/a</v>
      </c>
      <c r="P108" s="5"/>
      <c r="Q108" s="5" t="str">
        <f>IFERROR(__xludf.DUMMYFUNCTION("""COMPUTED_VALUE"""),"Ramzi")</f>
        <v>Ramzi</v>
      </c>
      <c r="R108" s="5" t="str">
        <f>IFERROR(__xludf.DUMMYFUNCTION("""COMPUTED_VALUE"""),"Noah")</f>
        <v>Noah</v>
      </c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</row>
    <row r="109">
      <c r="A109" s="5" t="str">
        <f>IFERROR(__xludf.DUMMYFUNCTION("""COMPUTED_VALUE"""),"Triaz")</f>
        <v>Triaz</v>
      </c>
      <c r="B109" s="5"/>
      <c r="C109" s="5" t="str">
        <f>IFERROR(__xludf.DUMMYFUNCTION("""COMPUTED_VALUE"""),"Private Group")</f>
        <v>Private Group</v>
      </c>
      <c r="D109" s="5" t="str">
        <f>IFERROR(__xludf.DUMMYFUNCTION("""COMPUTED_VALUE"""),"Private Group Christa 8:00-9:00pm")</f>
        <v>Private Group Christa 8:00-9:00pm</v>
      </c>
      <c r="E109" s="13">
        <f>IFERROR(__xludf.DUMMYFUNCTION("""COMPUTED_VALUE"""),46168.0)</f>
        <v>46168</v>
      </c>
      <c r="F109" s="14">
        <f>IFERROR(__xludf.DUMMYFUNCTION("""COMPUTED_VALUE"""),46203.0)</f>
        <v>46203</v>
      </c>
      <c r="G109" s="5">
        <f>IFERROR(__xludf.DUMMYFUNCTION("""COMPUTED_VALUE"""),6.0)</f>
        <v>6</v>
      </c>
      <c r="H109" s="5">
        <f>IFERROR(__xludf.DUMMYFUNCTION("""COMPUTED_VALUE"""),1.0)</f>
        <v>1</v>
      </c>
      <c r="I109" s="5">
        <f>IFERROR(__xludf.DUMMYFUNCTION("""COMPUTED_VALUE"""),28.0)</f>
        <v>28</v>
      </c>
      <c r="J109" s="5">
        <f>IFERROR(__xludf.DUMMYFUNCTION("""COMPUTED_VALUE"""),168.0)</f>
        <v>168</v>
      </c>
      <c r="K109" s="5"/>
      <c r="L109" s="5"/>
      <c r="M109" s="5">
        <f>IFERROR(__xludf.DUMMYFUNCTION("""COMPUTED_VALUE"""),4.0)</f>
        <v>4</v>
      </c>
      <c r="N109" s="5"/>
      <c r="O109" s="5" t="str">
        <f>IFERROR(__xludf.DUMMYFUNCTION("""COMPUTED_VALUE"""),"n/a")</f>
        <v>n/a</v>
      </c>
      <c r="P109" s="5"/>
      <c r="Q109" s="5" t="str">
        <f>IFERROR(__xludf.DUMMYFUNCTION("""COMPUTED_VALUE"""),"Noah")</f>
        <v>Noah</v>
      </c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</row>
    <row r="111">
      <c r="A111" s="5" t="str">
        <f>IFERROR(__xludf.DUMMYFUNCTION("""COMPUTED_VALUE"""),"Triaz")</f>
        <v>Triaz</v>
      </c>
      <c r="B111" s="5"/>
      <c r="C111" s="5"/>
      <c r="D111" s="5" t="str">
        <f>IFERROR(__xludf.DUMMYFUNCTION("""COMPUTED_VALUE"""),"Wednesday 10:00-11:30 Adv Beginner to Low Intermediate")</f>
        <v>Wednesday 10:00-11:30 Adv Beginner to Low Intermediate</v>
      </c>
      <c r="E111" s="13">
        <f>IFERROR(__xludf.DUMMYFUNCTION("""COMPUTED_VALUE"""),46169.0)</f>
        <v>46169</v>
      </c>
      <c r="F111" s="14">
        <f>IFERROR(__xludf.DUMMYFUNCTION("""COMPUTED_VALUE"""),46204.0)</f>
        <v>46204</v>
      </c>
      <c r="G111" s="5">
        <f>IFERROR(__xludf.DUMMYFUNCTION("""COMPUTED_VALUE"""),6.0)</f>
        <v>6</v>
      </c>
      <c r="H111" s="15">
        <f>IFERROR(__xludf.DUMMYFUNCTION("""COMPUTED_VALUE"""),1.5)</f>
        <v>1.5</v>
      </c>
      <c r="I111" s="6">
        <f>IFERROR(__xludf.DUMMYFUNCTION("""COMPUTED_VALUE"""),36.0)</f>
        <v>36</v>
      </c>
      <c r="J111" s="5">
        <f>IFERROR(__xludf.DUMMYFUNCTION("""COMPUTED_VALUE"""),216.0)</f>
        <v>216</v>
      </c>
      <c r="K111" s="5"/>
      <c r="L111" s="5"/>
      <c r="M111" s="5">
        <f>IFERROR(__xludf.DUMMYFUNCTION("""COMPUTED_VALUE"""),6.0)</f>
        <v>6</v>
      </c>
      <c r="N111" s="5"/>
      <c r="O111" s="5" t="str">
        <f>IFERROR(__xludf.DUMMYFUNCTION("""COMPUTED_VALUE"""),"n/a")</f>
        <v>n/a</v>
      </c>
      <c r="P111" s="5"/>
      <c r="Q111" s="5" t="str">
        <f>IFERROR(__xludf.DUMMYFUNCTION("""COMPUTED_VALUE"""),"Ramzi")</f>
        <v>Ramzi</v>
      </c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</row>
    <row r="112">
      <c r="A112" s="5" t="str">
        <f>IFERROR(__xludf.DUMMYFUNCTION("""COMPUTED_VALUE"""),"Triaz")</f>
        <v>Triaz</v>
      </c>
      <c r="B112" s="5"/>
      <c r="C112" s="5"/>
      <c r="D112" s="5" t="str">
        <f>IFERROR(__xludf.DUMMYFUNCTION("""COMPUTED_VALUE"""),"Weds 6:30-8:00 Beginner to Intermediate")</f>
        <v>Weds 6:30-8:00 Beginner to Intermediate</v>
      </c>
      <c r="E112" s="13">
        <f>IFERROR(__xludf.DUMMYFUNCTION("""COMPUTED_VALUE"""),46169.0)</f>
        <v>46169</v>
      </c>
      <c r="F112" s="14">
        <f>IFERROR(__xludf.DUMMYFUNCTION("""COMPUTED_VALUE"""),46204.0)</f>
        <v>46204</v>
      </c>
      <c r="G112" s="5">
        <f>IFERROR(__xludf.DUMMYFUNCTION("""COMPUTED_VALUE"""),6.0)</f>
        <v>6</v>
      </c>
      <c r="H112" s="15">
        <f>IFERROR(__xludf.DUMMYFUNCTION("""COMPUTED_VALUE"""),1.5)</f>
        <v>1.5</v>
      </c>
      <c r="I112" s="6">
        <f>IFERROR(__xludf.DUMMYFUNCTION("""COMPUTED_VALUE"""),36.0)</f>
        <v>36</v>
      </c>
      <c r="J112" s="5">
        <f>IFERROR(__xludf.DUMMYFUNCTION("""COMPUTED_VALUE"""),216.0)</f>
        <v>216</v>
      </c>
      <c r="K112" s="5"/>
      <c r="L112" s="5"/>
      <c r="M112" s="5">
        <f>IFERROR(__xludf.DUMMYFUNCTION("""COMPUTED_VALUE"""),12.0)</f>
        <v>12</v>
      </c>
      <c r="N112" s="5"/>
      <c r="O112" s="5" t="str">
        <f>IFERROR(__xludf.DUMMYFUNCTION("""COMPUTED_VALUE"""),"n/a")</f>
        <v>n/a</v>
      </c>
      <c r="P112" s="5"/>
      <c r="Q112" s="5" t="str">
        <f>IFERROR(__xludf.DUMMYFUNCTION("""COMPUTED_VALUE"""),"Ramzi")</f>
        <v>Ramzi</v>
      </c>
      <c r="R112" s="5" t="str">
        <f>IFERROR(__xludf.DUMMYFUNCTION("""COMPUTED_VALUE"""),"Ivan")</f>
        <v>Ivan</v>
      </c>
      <c r="S112" s="5" t="str">
        <f>IFERROR(__xludf.DUMMYFUNCTION("""COMPUTED_VALUE"""),"Noah")</f>
        <v>Noah</v>
      </c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</row>
    <row r="114">
      <c r="A114" s="5" t="str">
        <f>IFERROR(__xludf.DUMMYFUNCTION("""COMPUTED_VALUE"""),"Randwijck")</f>
        <v>Randwijck</v>
      </c>
      <c r="B114" s="5"/>
      <c r="C114" s="5"/>
      <c r="D114" s="5" t="str">
        <f>IFERROR(__xludf.DUMMYFUNCTION("""COMPUTED_VALUE"""),"Thursday 6:30-8 Beginner to Advanced. Beginner")</f>
        <v>Thursday 6:30-8 Beginner to Advanced. Beginner</v>
      </c>
      <c r="E114" s="14">
        <f>IFERROR(__xludf.DUMMYFUNCTION("""COMPUTED_VALUE"""),46170.0)</f>
        <v>46170</v>
      </c>
      <c r="F114" s="14">
        <f>IFERROR(__xludf.DUMMYFUNCTION("""COMPUTED_VALUE"""),46205.0)</f>
        <v>46205</v>
      </c>
      <c r="G114" s="5">
        <f>IFERROR(__xludf.DUMMYFUNCTION("""COMPUTED_VALUE"""),6.0)</f>
        <v>6</v>
      </c>
      <c r="H114" s="15">
        <f>IFERROR(__xludf.DUMMYFUNCTION("""COMPUTED_VALUE"""),1.5)</f>
        <v>1.5</v>
      </c>
      <c r="I114" s="6">
        <f>IFERROR(__xludf.DUMMYFUNCTION("""COMPUTED_VALUE"""),36.0)</f>
        <v>36</v>
      </c>
      <c r="J114" s="5">
        <f>IFERROR(__xludf.DUMMYFUNCTION("""COMPUTED_VALUE"""),216.0)</f>
        <v>216</v>
      </c>
      <c r="K114" s="5"/>
      <c r="L114" s="5"/>
      <c r="M114" s="5">
        <f>IFERROR(__xludf.DUMMYFUNCTION("""COMPUTED_VALUE"""),12.0)</f>
        <v>12</v>
      </c>
      <c r="N114" s="5"/>
      <c r="O114" s="5" t="str">
        <f>IFERROR(__xludf.DUMMYFUNCTION("""COMPUTED_VALUE"""),"na")</f>
        <v>na</v>
      </c>
      <c r="P114" s="5"/>
      <c r="Q114" s="5" t="str">
        <f>IFERROR(__xludf.DUMMYFUNCTION("""COMPUTED_VALUE"""),"Noah")</f>
        <v>Noah</v>
      </c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</row>
    <row r="116">
      <c r="A116" s="5" t="str">
        <f>IFERROR(__xludf.DUMMYFUNCTION("""COMPUTED_VALUE"""),"Randwijck")</f>
        <v>Randwijck</v>
      </c>
      <c r="B116" s="5"/>
      <c r="C116" s="5"/>
      <c r="D116" s="5" t="str">
        <f>IFERROR(__xludf.DUMMYFUNCTION("""COMPUTED_VALUE"""),"Friday 10-11:30 Low Intermediate to Intermediate")</f>
        <v>Friday 10-11:30 Low Intermediate to Intermediate</v>
      </c>
      <c r="E116" s="13">
        <f>IFERROR(__xludf.DUMMYFUNCTION("""COMPUTED_VALUE"""),46171.0)</f>
        <v>46171</v>
      </c>
      <c r="F116" s="14">
        <f>IFERROR(__xludf.DUMMYFUNCTION("""COMPUTED_VALUE"""),46206.0)</f>
        <v>46206</v>
      </c>
      <c r="G116" s="5">
        <f>IFERROR(__xludf.DUMMYFUNCTION("""COMPUTED_VALUE"""),6.0)</f>
        <v>6</v>
      </c>
      <c r="H116" s="15">
        <f>IFERROR(__xludf.DUMMYFUNCTION("""COMPUTED_VALUE"""),1.5)</f>
        <v>1.5</v>
      </c>
      <c r="I116" s="6">
        <f>IFERROR(__xludf.DUMMYFUNCTION("""COMPUTED_VALUE"""),36.0)</f>
        <v>36</v>
      </c>
      <c r="J116" s="5">
        <f>IFERROR(__xludf.DUMMYFUNCTION("""COMPUTED_VALUE"""),216.0)</f>
        <v>216</v>
      </c>
      <c r="K116" s="5"/>
      <c r="L116" s="5"/>
      <c r="M116" s="5">
        <f>IFERROR(__xludf.DUMMYFUNCTION("""COMPUTED_VALUE"""),6.0)</f>
        <v>6</v>
      </c>
      <c r="N116" s="5"/>
      <c r="O116" s="5" t="str">
        <f>IFERROR(__xludf.DUMMYFUNCTION("""COMPUTED_VALUE"""),"n/a")</f>
        <v>n/a</v>
      </c>
      <c r="P116" s="5"/>
      <c r="Q116" s="5" t="str">
        <f>IFERROR(__xludf.DUMMYFUNCTION("""COMPUTED_VALUE"""),"Ramzi")</f>
        <v>Ramzi</v>
      </c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</row>
    <row r="117">
      <c r="A117" s="5" t="str">
        <f>IFERROR(__xludf.DUMMYFUNCTION("""COMPUTED_VALUE"""),"Randwijck")</f>
        <v>Randwijck</v>
      </c>
      <c r="B117" s="5"/>
      <c r="C117" s="5"/>
      <c r="D117" s="5" t="str">
        <f>IFERROR(__xludf.DUMMYFUNCTION("""COMPUTED_VALUE"""),"Friday 10-11:30 Beginner to Adv Beginner")</f>
        <v>Friday 10-11:30 Beginner to Adv Beginner</v>
      </c>
      <c r="E117" s="13">
        <f>IFERROR(__xludf.DUMMYFUNCTION("""COMPUTED_VALUE"""),46171.0)</f>
        <v>46171</v>
      </c>
      <c r="F117" s="14">
        <f>IFERROR(__xludf.DUMMYFUNCTION("""COMPUTED_VALUE"""),46206.0)</f>
        <v>46206</v>
      </c>
      <c r="G117" s="5">
        <f>IFERROR(__xludf.DUMMYFUNCTION("""COMPUTED_VALUE"""),6.0)</f>
        <v>6</v>
      </c>
      <c r="H117" s="15">
        <f>IFERROR(__xludf.DUMMYFUNCTION("""COMPUTED_VALUE"""),1.5)</f>
        <v>1.5</v>
      </c>
      <c r="I117" s="6">
        <f>IFERROR(__xludf.DUMMYFUNCTION("""COMPUTED_VALUE"""),36.0)</f>
        <v>36</v>
      </c>
      <c r="J117" s="5">
        <f>IFERROR(__xludf.DUMMYFUNCTION("""COMPUTED_VALUE"""),216.0)</f>
        <v>216</v>
      </c>
      <c r="K117" s="5"/>
      <c r="L117" s="5"/>
      <c r="M117" s="5">
        <f>IFERROR(__xludf.DUMMYFUNCTION("""COMPUTED_VALUE"""),6.0)</f>
        <v>6</v>
      </c>
      <c r="N117" s="5"/>
      <c r="O117" s="5" t="str">
        <f>IFERROR(__xludf.DUMMYFUNCTION("""COMPUTED_VALUE"""),"Na")</f>
        <v>Na</v>
      </c>
      <c r="P117" s="5"/>
      <c r="Q117" s="5" t="str">
        <f>IFERROR(__xludf.DUMMYFUNCTION("""COMPUTED_VALUE"""),"Noah")</f>
        <v>Noah</v>
      </c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</row>
    <row r="119">
      <c r="A119" s="5" t="str">
        <f>IFERROR(__xludf.DUMMYFUNCTION("""COMPUTED_VALUE"""),"Randwijck")</f>
        <v>Randwijck</v>
      </c>
      <c r="B119" s="5"/>
      <c r="C119" s="5"/>
      <c r="D119" s="5" t="str">
        <f>IFERROR(__xludf.DUMMYFUNCTION("""COMPUTED_VALUE"""),"Saturday 9:30-11:00 Beginner")</f>
        <v>Saturday 9:30-11:00 Beginner</v>
      </c>
      <c r="E119" s="13">
        <f>IFERROR(__xludf.DUMMYFUNCTION("""COMPUTED_VALUE"""),46165.0)</f>
        <v>46165</v>
      </c>
      <c r="F119" s="14">
        <f>IFERROR(__xludf.DUMMYFUNCTION("""COMPUTED_VALUE"""),46200.0)</f>
        <v>46200</v>
      </c>
      <c r="G119" s="5">
        <f>IFERROR(__xludf.DUMMYFUNCTION("""COMPUTED_VALUE"""),6.0)</f>
        <v>6</v>
      </c>
      <c r="H119" s="15">
        <f>IFERROR(__xludf.DUMMYFUNCTION("""COMPUTED_VALUE"""),1.5)</f>
        <v>1.5</v>
      </c>
      <c r="I119" s="6">
        <f>IFERROR(__xludf.DUMMYFUNCTION("""COMPUTED_VALUE"""),36.0)</f>
        <v>36</v>
      </c>
      <c r="J119" s="5">
        <f>IFERROR(__xludf.DUMMYFUNCTION("""COMPUTED_VALUE"""),216.0)</f>
        <v>216</v>
      </c>
      <c r="K119" s="5">
        <f>IFERROR(__xludf.DUMMYFUNCTION("""COMPUTED_VALUE"""),246.0)</f>
        <v>246</v>
      </c>
      <c r="L119" s="5"/>
      <c r="M119" s="5">
        <f>IFERROR(__xludf.DUMMYFUNCTION("""COMPUTED_VALUE"""),6.0)</f>
        <v>6</v>
      </c>
      <c r="N119" s="5"/>
      <c r="O119" s="5" t="str">
        <f>IFERROR(__xludf.DUMMYFUNCTION("""COMPUTED_VALUE"""),"n/a")</f>
        <v>n/a</v>
      </c>
      <c r="P119" s="5"/>
      <c r="Q119" s="5" t="str">
        <f>IFERROR(__xludf.DUMMYFUNCTION("""COMPUTED_VALUE"""),"Noah")</f>
        <v>Noah</v>
      </c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</row>
    <row r="120">
      <c r="A120" s="5" t="str">
        <f>IFERROR(__xludf.DUMMYFUNCTION("""COMPUTED_VALUE"""),"Randwijck")</f>
        <v>Randwijck</v>
      </c>
      <c r="B120" s="5"/>
      <c r="C120" s="5"/>
      <c r="D120" s="5" t="str">
        <f>IFERROR(__xludf.DUMMYFUNCTION("""COMPUTED_VALUE"""),"Saturday 11-12:30 Adv. Beginner to Low Intermediate")</f>
        <v>Saturday 11-12:30 Adv. Beginner to Low Intermediate</v>
      </c>
      <c r="E120" s="13">
        <f>IFERROR(__xludf.DUMMYFUNCTION("""COMPUTED_VALUE"""),46165.0)</f>
        <v>46165</v>
      </c>
      <c r="F120" s="14">
        <f>IFERROR(__xludf.DUMMYFUNCTION("""COMPUTED_VALUE"""),46200.0)</f>
        <v>46200</v>
      </c>
      <c r="G120" s="5">
        <f>IFERROR(__xludf.DUMMYFUNCTION("""COMPUTED_VALUE"""),6.0)</f>
        <v>6</v>
      </c>
      <c r="H120" s="15">
        <f>IFERROR(__xludf.DUMMYFUNCTION("""COMPUTED_VALUE"""),1.5)</f>
        <v>1.5</v>
      </c>
      <c r="I120" s="6">
        <f>IFERROR(__xludf.DUMMYFUNCTION("""COMPUTED_VALUE"""),36.0)</f>
        <v>36</v>
      </c>
      <c r="J120" s="5">
        <f>IFERROR(__xludf.DUMMYFUNCTION("""COMPUTED_VALUE"""),216.0)</f>
        <v>216</v>
      </c>
      <c r="K120" s="5">
        <f>IFERROR(__xludf.DUMMYFUNCTION("""COMPUTED_VALUE"""),246.0)</f>
        <v>246</v>
      </c>
      <c r="L120" s="5"/>
      <c r="M120" s="5">
        <f>IFERROR(__xludf.DUMMYFUNCTION("""COMPUTED_VALUE"""),6.0)</f>
        <v>6</v>
      </c>
      <c r="N120" s="5"/>
      <c r="O120" s="5" t="str">
        <f>IFERROR(__xludf.DUMMYFUNCTION("""COMPUTED_VALUE"""),"n/a")</f>
        <v>n/a</v>
      </c>
      <c r="P120" s="5"/>
      <c r="Q120" s="5" t="str">
        <f>IFERROR(__xludf.DUMMYFUNCTION("""COMPUTED_VALUE"""),"Noah")</f>
        <v>Noah</v>
      </c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</row>
    <row r="121">
      <c r="A121" s="5" t="str">
        <f>IFERROR(__xludf.DUMMYFUNCTION("""COMPUTED_VALUE"""),"Triaz")</f>
        <v>Triaz</v>
      </c>
      <c r="B121" s="5"/>
      <c r="C121" s="5"/>
      <c r="D121" s="5" t="str">
        <f>IFERROR(__xludf.DUMMYFUNCTION("""COMPUTED_VALUE"""),"Saturday 11-12:30 Adv. Beginner to Low Intermediate")</f>
        <v>Saturday 11-12:30 Adv. Beginner to Low Intermediate</v>
      </c>
      <c r="E121" s="13">
        <f>IFERROR(__xludf.DUMMYFUNCTION("""COMPUTED_VALUE"""),46165.0)</f>
        <v>46165</v>
      </c>
      <c r="F121" s="14">
        <f>IFERROR(__xludf.DUMMYFUNCTION("""COMPUTED_VALUE"""),46200.0)</f>
        <v>46200</v>
      </c>
      <c r="G121" s="5">
        <f>IFERROR(__xludf.DUMMYFUNCTION("""COMPUTED_VALUE"""),6.0)</f>
        <v>6</v>
      </c>
      <c r="H121" s="15">
        <f>IFERROR(__xludf.DUMMYFUNCTION("""COMPUTED_VALUE"""),1.5)</f>
        <v>1.5</v>
      </c>
      <c r="I121" s="6">
        <f>IFERROR(__xludf.DUMMYFUNCTION("""COMPUTED_VALUE"""),36.0)</f>
        <v>36</v>
      </c>
      <c r="J121" s="5">
        <f>IFERROR(__xludf.DUMMYFUNCTION("""COMPUTED_VALUE"""),216.0)</f>
        <v>216</v>
      </c>
      <c r="K121" s="5"/>
      <c r="L121" s="5"/>
      <c r="M121" s="5">
        <f>IFERROR(__xludf.DUMMYFUNCTION("""COMPUTED_VALUE"""),6.0)</f>
        <v>6</v>
      </c>
      <c r="N121" s="5"/>
      <c r="O121" s="5" t="str">
        <f>IFERROR(__xludf.DUMMYFUNCTION("""COMPUTED_VALUE"""),"n/a")</f>
        <v>n/a</v>
      </c>
      <c r="P121" s="5"/>
      <c r="Q121" s="5" t="str">
        <f>IFERROR(__xludf.DUMMYFUNCTION("""COMPUTED_VALUE"""),"Noah")</f>
        <v>Noah</v>
      </c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</row>
    <row r="123">
      <c r="A123" s="5" t="str">
        <f>IFERROR(__xludf.DUMMYFUNCTION("""COMPUTED_VALUE"""),"Triaz")</f>
        <v>Triaz</v>
      </c>
      <c r="B123" s="5"/>
      <c r="C123" s="5"/>
      <c r="D123" s="5" t="str">
        <f>IFERROR(__xludf.DUMMYFUNCTION("""COMPUTED_VALUE"""),"Sunday 12-1:30 Adv. Beginner to Advanced")</f>
        <v>Sunday 12-1:30 Adv. Beginner to Advanced</v>
      </c>
      <c r="E123" s="13">
        <f>IFERROR(__xludf.DUMMYFUNCTION("""COMPUTED_VALUE"""),46173.0)</f>
        <v>46173</v>
      </c>
      <c r="F123" s="14">
        <f>IFERROR(__xludf.DUMMYFUNCTION("""COMPUTED_VALUE"""),46201.0)</f>
        <v>46201</v>
      </c>
      <c r="G123" s="5">
        <f>IFERROR(__xludf.DUMMYFUNCTION("""COMPUTED_VALUE"""),5.0)</f>
        <v>5</v>
      </c>
      <c r="H123" s="15">
        <f>IFERROR(__xludf.DUMMYFUNCTION("""COMPUTED_VALUE"""),1.5)</f>
        <v>1.5</v>
      </c>
      <c r="I123" s="6">
        <f>IFERROR(__xludf.DUMMYFUNCTION("""COMPUTED_VALUE"""),36.0)</f>
        <v>36</v>
      </c>
      <c r="J123" s="5">
        <f>IFERROR(__xludf.DUMMYFUNCTION("""COMPUTED_VALUE"""),180.0)</f>
        <v>180</v>
      </c>
      <c r="K123" s="5"/>
      <c r="L123" s="5"/>
      <c r="M123" s="5">
        <f>IFERROR(__xludf.DUMMYFUNCTION("""COMPUTED_VALUE"""),18.0)</f>
        <v>18</v>
      </c>
      <c r="N123" s="5"/>
      <c r="O123" s="14">
        <f>IFERROR(__xludf.DUMMYFUNCTION("""COMPUTED_VALUE"""),46166.0)</f>
        <v>46166</v>
      </c>
      <c r="P123" s="5"/>
      <c r="Q123" s="5" t="str">
        <f>IFERROR(__xludf.DUMMYFUNCTION("""COMPUTED_VALUE"""),"Ramzi")</f>
        <v>Ramzi</v>
      </c>
      <c r="R123" s="5" t="str">
        <f>IFERROR(__xludf.DUMMYFUNCTION("""COMPUTED_VALUE"""),"Ivan")</f>
        <v>Ivan</v>
      </c>
      <c r="S123" s="5" t="str">
        <f>IFERROR(__xludf.DUMMYFUNCTION("""COMPUTED_VALUE"""),"Set")</f>
        <v>Set</v>
      </c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</row>
  </sheetData>
  <drawing r:id="rId1"/>
</worksheet>
</file>